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2"/>
    <sheet name="CategorySummary" sheetId="2" state="visible" r:id="rId3"/>
    <sheet name="SupplierSummar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<sst xmlns="http://schemas.openxmlformats.org/spreadsheetml/2006/main" count="87" uniqueCount="52">
  <si>
    <t xml:space="preserve">SKU</t>
  </si>
  <si>
    <t xml:space="preserve">Product Name</t>
  </si>
  <si>
    <t xml:space="preserve">Category</t>
  </si>
  <si>
    <t xml:space="preserve">Quantity</t>
  </si>
  <si>
    <t xml:space="preserve">Unit Cost</t>
  </si>
  <si>
    <t xml:space="preserve">Reorder Level</t>
  </si>
  <si>
    <t xml:space="preserve">Supplier</t>
  </si>
  <si>
    <t xml:space="preserve">Total Value</t>
  </si>
  <si>
    <t xml:space="preserve">Stock Status</t>
  </si>
  <si>
    <t xml:space="preserve">SKU-001</t>
  </si>
  <si>
    <t xml:space="preserve">Laptop Pro 15</t>
  </si>
  <si>
    <t xml:space="preserve">Electronics</t>
  </si>
  <si>
    <t xml:space="preserve">TechCorp</t>
  </si>
  <si>
    <t xml:space="preserve">SKU-007</t>
  </si>
  <si>
    <t xml:space="preserve">Headset Pro</t>
  </si>
  <si>
    <t xml:space="preserve">Audio</t>
  </si>
  <si>
    <t xml:space="preserve">AudioMax</t>
  </si>
  <si>
    <t xml:space="preserve">SKU-010</t>
  </si>
  <si>
    <t xml:space="preserve">Tablet 10in</t>
  </si>
  <si>
    <t xml:space="preserve">SKU-005</t>
  </si>
  <si>
    <t xml:space="preserve">Keyboard Mech</t>
  </si>
  <si>
    <t xml:space="preserve">Accessories</t>
  </si>
  <si>
    <t xml:space="preserve">PeriphCo</t>
  </si>
  <si>
    <t xml:space="preserve">SKU-004</t>
  </si>
  <si>
    <t xml:space="preserve">Monitor 27in</t>
  </si>
  <si>
    <t xml:space="preserve">DisplayTech</t>
  </si>
  <si>
    <t xml:space="preserve">SKU-006</t>
  </si>
  <si>
    <t xml:space="preserve">Webcam HD</t>
  </si>
  <si>
    <t xml:space="preserve">SKU-003</t>
  </si>
  <si>
    <t xml:space="preserve">USB-C Hub</t>
  </si>
  <si>
    <t xml:space="preserve">SKU-011</t>
  </si>
  <si>
    <t xml:space="preserve">Speaker BT</t>
  </si>
  <si>
    <t xml:space="preserve">SKU-015</t>
  </si>
  <si>
    <t xml:space="preserve">Earbuds TWS</t>
  </si>
  <si>
    <t xml:space="preserve">SKU-002</t>
  </si>
  <si>
    <t xml:space="preserve">Wireless Mouse</t>
  </si>
  <si>
    <t xml:space="preserve">SKU-013</t>
  </si>
  <si>
    <t xml:space="preserve">Charger 65W</t>
  </si>
  <si>
    <t xml:space="preserve">CableCo</t>
  </si>
  <si>
    <t xml:space="preserve">SKU-009</t>
  </si>
  <si>
    <t xml:space="preserve">Cable HDMI 6ft</t>
  </si>
  <si>
    <t xml:space="preserve">SKU-012</t>
  </si>
  <si>
    <t xml:space="preserve">Mouse Pad XL</t>
  </si>
  <si>
    <t xml:space="preserve">SKU-008</t>
  </si>
  <si>
    <t xml:space="preserve">Desk Lamp LED</t>
  </si>
  <si>
    <t xml:space="preserve">Office</t>
  </si>
  <si>
    <t xml:space="preserve">OfficePlus</t>
  </si>
  <si>
    <t xml:space="preserve">SKU-014</t>
  </si>
  <si>
    <t xml:space="preserve">Desk Stand</t>
  </si>
  <si>
    <t xml:space="preserve">Item Count</t>
  </si>
  <si>
    <t xml:space="preserve">Total Quantity</t>
  </si>
  <si>
    <t xml:space="preserve">Avg Unit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</si>
</sst>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H1" activeCellId="0" sqref="A1:I16"/>
    </sheetView>
  </sheetViews>
  <sheetFormatPr defaultColWidth="8.54296875" defaultRowHeight="15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45</v>
      </c>
      <c r="E2" s="1" t="n">
        <v>899.99</v>
      </c>
      <c r="F2" s="1" t="n">
        <v>20</v>
      </c>
      <c r="G2" s="1" t="s">
        <v>12</v>
      </c>
      <c r="H2" s="1" t="n">
        <f aca="false">ROUND(D2*E2, 2)</f>
        <v>40499.55</v>
      </c>
      <c r="I2" s="1" t="str">
        <f aca="false">IF(D2&lt;=F2,"LOW",IF(D2&lt;=2*F2,"OK","HIGH"))</f>
        <v>HIGH</v>
      </c>
    </row>
    <row r="3" customFormat="false" ht="13.8" hidden="false" customHeight="false" outlineLevel="0" collapsed="false">
      <c r="A3" s="1" t="s">
        <v>13</v>
      </c>
      <c r="B3" s="1" t="s">
        <v>14</v>
      </c>
      <c r="C3" s="1" t="s">
        <v>15</v>
      </c>
      <c r="D3" s="1" t="n">
        <v>120</v>
      </c>
      <c r="E3" s="1" t="n">
        <v>149.99</v>
      </c>
      <c r="F3" s="1" t="n">
        <v>35</v>
      </c>
      <c r="G3" s="1" t="s">
        <v>16</v>
      </c>
      <c r="H3" s="1" t="n">
        <f aca="false">ROUND(D3*E3, 2)</f>
        <v>17998.8</v>
      </c>
      <c r="I3" s="1" t="str">
        <f aca="false">IF(D3&lt;=F3,"LOW",IF(D3&lt;=2*F3,"OK","HIGH"))</f>
        <v>HIGH</v>
      </c>
    </row>
    <row r="4" customFormat="false" ht="13.8" hidden="false" customHeight="false" outlineLevel="0" collapsed="false">
      <c r="A4" s="1" t="s">
        <v>17</v>
      </c>
      <c r="B4" s="1" t="s">
        <v>18</v>
      </c>
      <c r="C4" s="1" t="s">
        <v>11</v>
      </c>
      <c r="D4" s="1" t="n">
        <v>25</v>
      </c>
      <c r="E4" s="1" t="n">
        <v>599.99</v>
      </c>
      <c r="F4" s="1" t="n">
        <v>10</v>
      </c>
      <c r="G4" s="1" t="s">
        <v>12</v>
      </c>
      <c r="H4" s="1" t="n">
        <f aca="false">ROUND(D4*E4, 2)</f>
        <v>14999.75</v>
      </c>
      <c r="I4" s="1" t="str">
        <f aca="false">IF(D4&lt;=F4,"LOW",IF(D4&lt;=2*F4,"OK","HIGH"))</f>
        <v>HIGH</v>
      </c>
    </row>
    <row r="5" customFormat="false" ht="13.8" hidden="false" customHeight="false" outlineLevel="0" collapsed="false">
      <c r="A5" s="1" t="s">
        <v>19</v>
      </c>
      <c r="B5" s="1" t="s">
        <v>20</v>
      </c>
      <c r="C5" s="1" t="s">
        <v>21</v>
      </c>
      <c r="D5" s="1" t="n">
        <v>180</v>
      </c>
      <c r="E5" s="1" t="n">
        <v>79.99</v>
      </c>
      <c r="F5" s="1" t="n">
        <v>40</v>
      </c>
      <c r="G5" s="1" t="s">
        <v>22</v>
      </c>
      <c r="H5" s="1" t="n">
        <f aca="false">ROUND(D5*E5, 2)</f>
        <v>14398.2</v>
      </c>
      <c r="I5" s="1" t="str">
        <f aca="false">IF(D5&lt;=F5,"LOW",IF(D5&lt;=2*F5,"OK","HIGH"))</f>
        <v>HIGH</v>
      </c>
    </row>
    <row r="6" customFormat="false" ht="13.8" hidden="false" customHeight="false" outlineLevel="0" collapsed="false">
      <c r="A6" s="1" t="s">
        <v>23</v>
      </c>
      <c r="B6" s="1" t="s">
        <v>24</v>
      </c>
      <c r="C6" s="1" t="s">
        <v>11</v>
      </c>
      <c r="D6" s="1" t="n">
        <v>30</v>
      </c>
      <c r="E6" s="1" t="n">
        <v>449.99</v>
      </c>
      <c r="F6" s="1" t="n">
        <v>15</v>
      </c>
      <c r="G6" s="1" t="s">
        <v>25</v>
      </c>
      <c r="H6" s="1" t="n">
        <f aca="false">ROUND(D6*E6, 2)</f>
        <v>13499.7</v>
      </c>
      <c r="I6" s="1" t="str">
        <f aca="false">IF(D6&lt;=F6,"LOW",IF(D6&lt;=2*F6,"OK","HIGH"))</f>
        <v>OK</v>
      </c>
    </row>
    <row r="7" customFormat="false" ht="13.8" hidden="false" customHeight="false" outlineLevel="0" collapsed="false">
      <c r="A7" s="1" t="s">
        <v>26</v>
      </c>
      <c r="B7" s="1" t="s">
        <v>27</v>
      </c>
      <c r="C7" s="1" t="s">
        <v>11</v>
      </c>
      <c r="D7" s="1" t="n">
        <v>90</v>
      </c>
      <c r="E7" s="1" t="n">
        <v>69.99</v>
      </c>
      <c r="F7" s="1" t="n">
        <v>25</v>
      </c>
      <c r="G7" s="1" t="s">
        <v>12</v>
      </c>
      <c r="H7" s="1" t="n">
        <f aca="false">ROUND(D7*E7, 2)</f>
        <v>6299.1</v>
      </c>
      <c r="I7" s="1" t="str">
        <f aca="false">IF(D7&lt;=F7,"LOW",IF(D7&lt;=2*F7,"OK","HIGH"))</f>
        <v>HIGH</v>
      </c>
    </row>
    <row r="8" customFormat="false" ht="13.8" hidden="false" customHeight="false" outlineLevel="0" collapsed="false">
      <c r="A8" s="1" t="s">
        <v>28</v>
      </c>
      <c r="B8" s="1" t="s">
        <v>29</v>
      </c>
      <c r="C8" s="1" t="s">
        <v>21</v>
      </c>
      <c r="D8" s="1" t="n">
        <v>150</v>
      </c>
      <c r="E8" s="1" t="n">
        <v>39.99</v>
      </c>
      <c r="F8" s="1" t="n">
        <v>30</v>
      </c>
      <c r="G8" s="1" t="s">
        <v>22</v>
      </c>
      <c r="H8" s="1" t="n">
        <f aca="false">ROUND(D8*E8, 2)</f>
        <v>5998.5</v>
      </c>
      <c r="I8" s="1" t="str">
        <f aca="false">IF(D8&lt;=F8,"LOW",IF(D8&lt;=2*F8,"OK","HIGH"))</f>
        <v>HIGH</v>
      </c>
    </row>
    <row r="9" customFormat="false" ht="13.8" hidden="false" customHeight="false" outlineLevel="0" collapsed="false">
      <c r="A9" s="1" t="s">
        <v>30</v>
      </c>
      <c r="B9" s="1" t="s">
        <v>31</v>
      </c>
      <c r="C9" s="1" t="s">
        <v>15</v>
      </c>
      <c r="D9" s="1" t="n">
        <v>60</v>
      </c>
      <c r="E9" s="1" t="n">
        <v>89.99</v>
      </c>
      <c r="F9" s="1" t="n">
        <v>20</v>
      </c>
      <c r="G9" s="1" t="s">
        <v>16</v>
      </c>
      <c r="H9" s="1" t="n">
        <f aca="false">ROUND(D9*E9, 2)</f>
        <v>5399.4</v>
      </c>
      <c r="I9" s="1" t="str">
        <f aca="false">IF(D9&lt;=F9,"LOW",IF(D9&lt;=2*F9,"OK","HIGH"))</f>
        <v>HIGH</v>
      </c>
    </row>
    <row r="10" customFormat="false" ht="13.8" hidden="false" customHeight="false" outlineLevel="0" collapsed="false">
      <c r="A10" s="1" t="s">
        <v>32</v>
      </c>
      <c r="B10" s="1" t="s">
        <v>33</v>
      </c>
      <c r="C10" s="1" t="s">
        <v>15</v>
      </c>
      <c r="D10" s="1" t="n">
        <v>100</v>
      </c>
      <c r="E10" s="1" t="n">
        <v>49.99</v>
      </c>
      <c r="F10" s="1" t="n">
        <v>30</v>
      </c>
      <c r="G10" s="1" t="s">
        <v>16</v>
      </c>
      <c r="H10" s="1" t="n">
        <f aca="false">ROUND(D10*E10, 2)</f>
        <v>4999</v>
      </c>
      <c r="I10" s="1" t="str">
        <f aca="false">IF(D10&lt;=F10,"LOW",IF(D10&lt;=2*F10,"OK","HIGH"))</f>
        <v>HIGH</v>
      </c>
    </row>
    <row r="11" customFormat="false" ht="13.8" hidden="false" customHeight="false" outlineLevel="0" collapsed="false">
      <c r="A11" s="1" t="s">
        <v>34</v>
      </c>
      <c r="B11" s="1" t="s">
        <v>35</v>
      </c>
      <c r="C11" s="1" t="s">
        <v>21</v>
      </c>
      <c r="D11" s="1" t="n">
        <v>200</v>
      </c>
      <c r="E11" s="1" t="n">
        <v>24.99</v>
      </c>
      <c r="F11" s="1" t="n">
        <v>50</v>
      </c>
      <c r="G11" s="1" t="s">
        <v>22</v>
      </c>
      <c r="H11" s="1" t="n">
        <f aca="false">ROUND(D11*E11, 2)</f>
        <v>4998</v>
      </c>
      <c r="I11" s="1" t="str">
        <f aca="false">IF(D11&lt;=F11,"LOW",IF(D11&lt;=2*F11,"OK","HIGH"))</f>
        <v>HIGH</v>
      </c>
    </row>
    <row r="12" customFormat="false" ht="13.8" hidden="false" customHeight="false" outlineLevel="0" collapsed="false">
      <c r="A12" s="1" t="s">
        <v>36</v>
      </c>
      <c r="B12" s="1" t="s">
        <v>37</v>
      </c>
      <c r="C12" s="1" t="s">
        <v>21</v>
      </c>
      <c r="D12" s="1" t="n">
        <v>160</v>
      </c>
      <c r="E12" s="1" t="n">
        <v>29.99</v>
      </c>
      <c r="F12" s="1" t="n">
        <v>40</v>
      </c>
      <c r="G12" s="1" t="s">
        <v>38</v>
      </c>
      <c r="H12" s="1" t="n">
        <f aca="false">ROUND(D12*E12, 2)</f>
        <v>4798.4</v>
      </c>
      <c r="I12" s="1" t="str">
        <f aca="false">IF(D12&lt;=F12,"LOW",IF(D12&lt;=2*F12,"OK","HIGH"))</f>
        <v>HIGH</v>
      </c>
    </row>
    <row r="13" customFormat="false" ht="13.8" hidden="false" customHeight="false" outlineLevel="0" collapsed="false">
      <c r="A13" s="1" t="s">
        <v>39</v>
      </c>
      <c r="B13" s="1" t="s">
        <v>40</v>
      </c>
      <c r="C13" s="1" t="s">
        <v>21</v>
      </c>
      <c r="D13" s="1" t="n">
        <v>300</v>
      </c>
      <c r="E13" s="1" t="n">
        <v>12.99</v>
      </c>
      <c r="F13" s="1" t="n">
        <v>100</v>
      </c>
      <c r="G13" s="1" t="s">
        <v>38</v>
      </c>
      <c r="H13" s="1" t="n">
        <f aca="false">ROUND(D13*E13, 2)</f>
        <v>3897</v>
      </c>
      <c r="I13" s="1" t="str">
        <f aca="false">IF(D13&lt;=F13,"LOW",IF(D13&lt;=2*F13,"OK","HIGH"))</f>
        <v>HIGH</v>
      </c>
    </row>
    <row r="14" customFormat="false" ht="13.8" hidden="false" customHeight="false" outlineLevel="0" collapsed="false">
      <c r="A14" s="1" t="s">
        <v>41</v>
      </c>
      <c r="B14" s="1" t="s">
        <v>42</v>
      </c>
      <c r="C14" s="1" t="s">
        <v>21</v>
      </c>
      <c r="D14" s="1" t="n">
        <v>250</v>
      </c>
      <c r="E14" s="1" t="n">
        <v>14.99</v>
      </c>
      <c r="F14" s="1" t="n">
        <v>60</v>
      </c>
      <c r="G14" s="1" t="s">
        <v>22</v>
      </c>
      <c r="H14" s="1" t="n">
        <f aca="false">ROUND(D14*E14, 2)</f>
        <v>3747.5</v>
      </c>
      <c r="I14" s="1" t="str">
        <f aca="false">IF(D14&lt;=F14,"LOW",IF(D14&lt;=2*F14,"OK","HIGH"))</f>
        <v>HIGH</v>
      </c>
    </row>
    <row r="15" customFormat="false" ht="13.8" hidden="false" customHeight="false" outlineLevel="0" collapsed="false">
      <c r="A15" s="1" t="s">
        <v>43</v>
      </c>
      <c r="B15" s="1" t="s">
        <v>44</v>
      </c>
      <c r="C15" s="1" t="s">
        <v>45</v>
      </c>
      <c r="D15" s="1" t="n">
        <v>75</v>
      </c>
      <c r="E15" s="1" t="n">
        <v>34.99</v>
      </c>
      <c r="F15" s="1" t="n">
        <v>20</v>
      </c>
      <c r="G15" s="1" t="s">
        <v>46</v>
      </c>
      <c r="H15" s="1" t="n">
        <f aca="false">ROUND(D15*E15, 2)</f>
        <v>2624.25</v>
      </c>
      <c r="I15" s="1" t="str">
        <f aca="false">IF(D15&lt;=F15,"LOW",IF(D15&lt;=2*F15,"OK","HIGH"))</f>
        <v>HIGH</v>
      </c>
    </row>
    <row r="16" customFormat="false" ht="13.8" hidden="false" customHeight="false" outlineLevel="0" collapsed="false">
      <c r="A16" s="1" t="s">
        <v>47</v>
      </c>
      <c r="B16" s="1" t="s">
        <v>48</v>
      </c>
      <c r="C16" s="1" t="s">
        <v>45</v>
      </c>
      <c r="D16" s="1" t="n">
        <v>40</v>
      </c>
      <c r="E16" s="1" t="n">
        <v>59.99</v>
      </c>
      <c r="F16" s="1" t="n">
        <v>15</v>
      </c>
      <c r="G16" s="1" t="s">
        <v>46</v>
      </c>
      <c r="H16" s="1" t="n">
        <f aca="false">ROUND(D16*E16,2)</f>
        <v>2399.6</v>
      </c>
      <c r="I16" s="1" t="str">
        <f aca="false">IF(D16&lt;=F16,"LOW",IF(D16&lt;=2*F16,"OK","HIGH"))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16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2</v>
      </c>
      <c r="B1" s="1" t="s">
        <v>49</v>
      </c>
      <c r="C1" s="1" t="s">
        <v>50</v>
      </c>
      <c r="D1" s="1" t="s">
        <v>7</v>
      </c>
      <c r="E1" s="1" t="s">
        <v>51</v>
      </c>
    </row>
    <row r="2" customFormat="false" ht="12.8" hidden="false" customHeight="false" outlineLevel="0" collapsed="false">
      <c r="A2" s="2" t="s">
        <v>21</v>
      </c>
      <c r="B2" s="2" t="n">
        <v>6</v>
      </c>
      <c r="C2" s="2" t="n">
        <v>1240</v>
      </c>
      <c r="D2" s="2" t="n">
        <v>37837.6</v>
      </c>
      <c r="E2" s="2" t="n">
        <v>33.82</v>
      </c>
    </row>
    <row r="3" customFormat="false" ht="12.8" hidden="false" customHeight="false" outlineLevel="0" collapsed="false">
      <c r="A3" s="2" t="s">
        <v>15</v>
      </c>
      <c r="B3" s="2" t="n">
        <v>3</v>
      </c>
      <c r="C3" s="2" t="n">
        <v>280</v>
      </c>
      <c r="D3" s="2" t="n">
        <v>28397.2</v>
      </c>
      <c r="E3" s="2" t="n">
        <v>96.66</v>
      </c>
    </row>
    <row r="4" customFormat="false" ht="12.8" hidden="false" customHeight="false" outlineLevel="0" collapsed="false">
      <c r="A4" s="2" t="s">
        <v>11</v>
      </c>
      <c r="B4" s="2" t="n">
        <v>4</v>
      </c>
      <c r="C4" s="2" t="n">
        <v>190</v>
      </c>
      <c r="D4" s="2" t="n">
        <v>75298.1</v>
      </c>
      <c r="E4" s="2" t="n">
        <v>504.99</v>
      </c>
    </row>
    <row r="5" customFormat="false" ht="12.8" hidden="false" customHeight="false" outlineLevel="0" collapsed="false">
      <c r="A5" s="2" t="s">
        <v>45</v>
      </c>
      <c r="B5" s="2" t="n">
        <v>2</v>
      </c>
      <c r="C5" s="2" t="n">
        <v>115</v>
      </c>
      <c r="D5" s="2" t="n">
        <v>5023.85</v>
      </c>
      <c r="E5" s="3" t="n">
        <f aca="false">ROUND(D5/C5,2)</f>
        <v>43.69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16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6</v>
      </c>
      <c r="B1" s="1" t="s">
        <v>49</v>
      </c>
      <c r="C1" s="1" t="s">
        <v>7</v>
      </c>
    </row>
    <row r="2" customFormat="false" ht="13.8" hidden="false" customHeight="false" outlineLevel="0" collapsed="false">
      <c r="A2" s="2" t="s">
        <v>16</v>
      </c>
      <c r="B2" s="2" t="n">
        <v>3</v>
      </c>
      <c r="C2" s="4" t="n">
        <v>28397.2</v>
      </c>
    </row>
    <row r="3" customFormat="false" ht="13.8" hidden="false" customHeight="false" outlineLevel="0" collapsed="false">
      <c r="A3" s="2" t="s">
        <v>38</v>
      </c>
      <c r="B3" s="2" t="n">
        <v>2</v>
      </c>
      <c r="C3" s="4" t="n">
        <v>8695.4</v>
      </c>
    </row>
    <row r="4" customFormat="false" ht="13.8" hidden="false" customHeight="false" outlineLevel="0" collapsed="false">
      <c r="A4" s="2" t="s">
        <v>25</v>
      </c>
      <c r="B4" s="2" t="n">
        <v>1</v>
      </c>
      <c r="C4" s="4" t="n">
        <v>13499.7</v>
      </c>
    </row>
    <row r="5" customFormat="false" ht="13.8" hidden="false" customHeight="false" outlineLevel="0" collapsed="false">
      <c r="A5" s="2" t="s">
        <v>46</v>
      </c>
      <c r="B5" s="2" t="n">
        <v>2</v>
      </c>
      <c r="C5" s="4" t="n">
        <v>5023.85</v>
      </c>
    </row>
    <row r="6" customFormat="false" ht="13.8" hidden="false" customHeight="false" outlineLevel="0" collapsed="false">
      <c r="A6" s="2" t="s">
        <v>22</v>
      </c>
      <c r="B6" s="2" t="n">
        <v>4</v>
      </c>
      <c r="C6" s="4" t="n">
        <v>29142.2</v>
      </c>
    </row>
    <row r="7" customFormat="false" ht="13.8" hidden="false" customHeight="false" outlineLevel="0" collapsed="false">
      <c r="A7" s="2" t="s">
        <v>12</v>
      </c>
      <c r="B7" s="2" t="n">
        <v>3</v>
      </c>
      <c r="C7" s="4" t="n">
        <v>61798.4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2026-04-26T23:21:32Z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