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" sheetId="1" state="visible" r:id="rId2"/>
    <sheet name="BudgetOverview" sheetId="2" state="visible" r:id="rId3"/>
    <sheet name="TeamWorkloa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<sst xmlns="http://schemas.openxmlformats.org/spreadsheetml/2006/main" count="105" uniqueCount="77">
  <si>
    <t xml:space="preserve">Project ID</t>
  </si>
  <si>
    <t xml:space="preserve">Project Name</t>
  </si>
  <si>
    <t xml:space="preserve">Team Lead</t>
  </si>
  <si>
    <t xml:space="preserve">Budget</t>
  </si>
  <si>
    <t xml:space="preserve">Spent</t>
  </si>
  <si>
    <t xml:space="preserve">Status</t>
  </si>
  <si>
    <t xml:space="preserve">Priority</t>
  </si>
  <si>
    <t xml:space="preserve">Start Date</t>
  </si>
  <si>
    <t xml:space="preserve">End Date</t>
  </si>
  <si>
    <t xml:space="preserve">Remaining Budget</t>
  </si>
  <si>
    <t xml:space="preserve">% Spent</t>
  </si>
  <si>
    <t xml:space="preserve">Budget Status</t>
  </si>
  <si>
    <t xml:space="preserve">SortOrder</t>
  </si>
  <si>
    <t xml:space="preserve">P-009</t>
  </si>
  <si>
    <t xml:space="preserve">Training Portal</t>
  </si>
  <si>
    <t xml:space="preserve">Iris Chen</t>
  </si>
  <si>
    <t xml:space="preserve">Completed</t>
  </si>
  <si>
    <t xml:space="preserve">Low</t>
  </si>
  <si>
    <t xml:space="preserve">2025-02-15</t>
  </si>
  <si>
    <t xml:space="preserve">2025-05-01</t>
  </si>
  <si>
    <t xml:space="preserve">P-003</t>
  </si>
  <si>
    <t xml:space="preserve">Data Migration</t>
  </si>
  <si>
    <t xml:space="preserve">Carol Davis</t>
  </si>
  <si>
    <t xml:space="preserve">Medium</t>
  </si>
  <si>
    <t xml:space="preserve">2025-02-01</t>
  </si>
  <si>
    <t xml:space="preserve">2025-04-30</t>
  </si>
  <si>
    <t xml:space="preserve">k</t>
  </si>
  <si>
    <t xml:space="preserve">P-007</t>
  </si>
  <si>
    <t xml:space="preserve">API Gateway</t>
  </si>
  <si>
    <t xml:space="preserve">Grace Lee</t>
  </si>
  <si>
    <t xml:space="preserve">In Progress</t>
  </si>
  <si>
    <t xml:space="preserve">High</t>
  </si>
  <si>
    <t xml:space="preserve">2024-12-01</t>
  </si>
  <si>
    <t xml:space="preserve">2025-06-15</t>
  </si>
  <si>
    <t xml:space="preserve">P-002</t>
  </si>
  <si>
    <t xml:space="preserve">Mobile App v2</t>
  </si>
  <si>
    <t xml:space="preserve">Bob Smith</t>
  </si>
  <si>
    <t xml:space="preserve">Critical</t>
  </si>
  <si>
    <t xml:space="preserve">2024-11-01</t>
  </si>
  <si>
    <t xml:space="preserve">2025-05-15</t>
  </si>
  <si>
    <t xml:space="preserve">P-005</t>
  </si>
  <si>
    <t xml:space="preserve">Security Audit</t>
  </si>
  <si>
    <t xml:space="preserve">Eva Martinez</t>
  </si>
  <si>
    <t xml:space="preserve">2025-04-01</t>
  </si>
  <si>
    <t xml:space="preserve">2025-07-15</t>
  </si>
  <si>
    <t xml:space="preserve">P-001</t>
  </si>
  <si>
    <t xml:space="preserve">Website Redesign</t>
  </si>
  <si>
    <t xml:space="preserve">Alice Johnson</t>
  </si>
  <si>
    <t xml:space="preserve">2025-01-15</t>
  </si>
  <si>
    <t xml:space="preserve">2025-06-30</t>
  </si>
  <si>
    <t xml:space="preserve">P-010</t>
  </si>
  <si>
    <t xml:space="preserve">Compliance Update</t>
  </si>
  <si>
    <t xml:space="preserve">Jack Anderson</t>
  </si>
  <si>
    <t xml:space="preserve">2025-09-30</t>
  </si>
  <si>
    <t xml:space="preserve">P-004</t>
  </si>
  <si>
    <t xml:space="preserve">CRM Integration</t>
  </si>
  <si>
    <t xml:space="preserve">David Wilson</t>
  </si>
  <si>
    <t xml:space="preserve">2025-03-01</t>
  </si>
  <si>
    <t xml:space="preserve">2025-08-31</t>
  </si>
  <si>
    <t xml:space="preserve">P-008</t>
  </si>
  <si>
    <t xml:space="preserve">Cloud Migration</t>
  </si>
  <si>
    <t xml:space="preserve">Henry Taylor</t>
  </si>
  <si>
    <t xml:space="preserve">2025-01-01</t>
  </si>
  <si>
    <t xml:space="preserve">2025-12-31</t>
  </si>
  <si>
    <t xml:space="preserve">P-006</t>
  </si>
  <si>
    <t xml:space="preserve">Analytics Dashboard</t>
  </si>
  <si>
    <t xml:space="preserve">Frank Brown</t>
  </si>
  <si>
    <t xml:space="preserve">Planning</t>
  </si>
  <si>
    <t xml:space="preserve">2025-06-01</t>
  </si>
  <si>
    <t xml:space="preserve">2025-10-31</t>
  </si>
  <si>
    <t xml:space="preserve">Count</t>
  </si>
  <si>
    <t xml:space="preserve">Total Budget</t>
  </si>
  <si>
    <t xml:space="preserve">Avg % Spent</t>
  </si>
  <si>
    <t xml:space="preserve">Warning</t>
  </si>
  <si>
    <t xml:space="preserve">On Track</t>
  </si>
  <si>
    <t xml:space="preserve">Projects</t>
  </si>
  <si>
    <t xml:space="preserve">Total Remaining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</si>
</sst>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1" t="s">
        <v>13</v>
      </c>
      <c r="B2" s="1" t="s">
        <v>14</v>
      </c>
      <c r="C2" s="1" t="s">
        <v>15</v>
      </c>
      <c r="D2" s="1" t="n">
        <v>20000</v>
      </c>
      <c r="E2" s="1" t="n">
        <v>20000</v>
      </c>
      <c r="F2" s="1" t="s">
        <v>16</v>
      </c>
      <c r="G2" s="1" t="s">
        <v>17</v>
      </c>
      <c r="H2" s="1" t="s">
        <v>18</v>
      </c>
      <c r="I2" s="1" t="s">
        <v>19</v>
      </c>
      <c r="J2" s="1" t="n">
        <f aca="false">D2-E2</f>
        <v>0</v>
      </c>
      <c r="K2" s="1" t="n">
        <f aca="false">ROUND(E2/D2*100,1)</f>
        <v>100</v>
      </c>
      <c r="L2" s="1" t="str">
        <f aca="false">IF(K2&gt;=90,"Critical",IF(K2&gt;=70,"Warning","On Track"))</f>
        <v>Critical</v>
      </c>
      <c r="M2" s="1" t="n">
        <f aca="false">IF(L2="Critical",1,IF(L2="Warning",2,3))</f>
        <v>1</v>
      </c>
    </row>
    <row r="3" customFormat="false" ht="13.8" hidden="false" customHeight="false" outlineLevel="0" collapsed="false">
      <c r="A3" s="1" t="s">
        <v>20</v>
      </c>
      <c r="B3" s="1" t="s">
        <v>21</v>
      </c>
      <c r="C3" s="1" t="s">
        <v>22</v>
      </c>
      <c r="D3" s="1" t="n">
        <v>30000</v>
      </c>
      <c r="E3" s="1" t="n">
        <v>30000</v>
      </c>
      <c r="F3" s="1" t="s">
        <v>16</v>
      </c>
      <c r="G3" s="1" t="s">
        <v>23</v>
      </c>
      <c r="H3" s="1" t="s">
        <v>24</v>
      </c>
      <c r="I3" s="1" t="s">
        <v>25</v>
      </c>
      <c r="J3" s="1" t="n">
        <f aca="false">D3-E3</f>
        <v>0</v>
      </c>
      <c r="K3" s="1" t="n">
        <f aca="false">ROUND(E3/D3*100,1)</f>
        <v>100</v>
      </c>
      <c r="L3" s="1" t="str">
        <f aca="false">IF(K3&gt;=90,"Critical",IF(K3&gt;=70,"Warning","On Track"))</f>
        <v>Critical</v>
      </c>
      <c r="M3" s="1" t="n">
        <f aca="false">IF(L3="Critical",1,IF(L3="Warning",2,3))</f>
        <v>1</v>
      </c>
      <c r="N3" s="1" t="s">
        <v>26</v>
      </c>
    </row>
    <row r="4" customFormat="false" ht="13.8" hidden="false" customHeight="false" outlineLevel="0" collapsed="false">
      <c r="A4" s="1" t="s">
        <v>27</v>
      </c>
      <c r="B4" s="1" t="s">
        <v>28</v>
      </c>
      <c r="C4" s="1" t="s">
        <v>29</v>
      </c>
      <c r="D4" s="1" t="n">
        <v>60000</v>
      </c>
      <c r="E4" s="1" t="n">
        <v>55000</v>
      </c>
      <c r="F4" s="1" t="s">
        <v>30</v>
      </c>
      <c r="G4" s="1" t="s">
        <v>31</v>
      </c>
      <c r="H4" s="1" t="s">
        <v>32</v>
      </c>
      <c r="I4" s="1" t="s">
        <v>33</v>
      </c>
      <c r="J4" s="1" t="n">
        <f aca="false">D4-E4</f>
        <v>5000</v>
      </c>
      <c r="K4" s="1" t="n">
        <f aca="false">ROUND(E4/D4*100,1)</f>
        <v>91.7</v>
      </c>
      <c r="L4" s="1" t="str">
        <f aca="false">IF(K4&gt;=90,"Critical",IF(K4&gt;=70,"Warning","On Track"))</f>
        <v>Critical</v>
      </c>
      <c r="M4" s="1" t="n">
        <f aca="false">IF(L4="Critical",1,IF(L4="Warning",2,3))</f>
        <v>1</v>
      </c>
    </row>
    <row r="5" customFormat="false" ht="13.8" hidden="false" customHeight="false" outlineLevel="0" collapsed="false">
      <c r="A5" s="1" t="s">
        <v>34</v>
      </c>
      <c r="B5" s="1" t="s">
        <v>35</v>
      </c>
      <c r="C5" s="1" t="s">
        <v>36</v>
      </c>
      <c r="D5" s="1" t="n">
        <v>80000</v>
      </c>
      <c r="E5" s="1" t="n">
        <v>72000</v>
      </c>
      <c r="F5" s="1" t="s">
        <v>30</v>
      </c>
      <c r="G5" s="1" t="s">
        <v>37</v>
      </c>
      <c r="H5" s="1" t="s">
        <v>38</v>
      </c>
      <c r="I5" s="1" t="s">
        <v>39</v>
      </c>
      <c r="J5" s="1" t="n">
        <f aca="false">D5-E5</f>
        <v>8000</v>
      </c>
      <c r="K5" s="1" t="n">
        <f aca="false">ROUND(E5/D5*100,1)</f>
        <v>90</v>
      </c>
      <c r="L5" s="1" t="str">
        <f aca="false">IF(K5&gt;=90,"Critical",IF(K5&gt;=70,"Warning","On Track"))</f>
        <v>Critical</v>
      </c>
      <c r="M5" s="1" t="n">
        <f aca="false">IF(L5="Critical",1,IF(L5="Warning",2,3))</f>
        <v>1</v>
      </c>
    </row>
    <row r="6" customFormat="false" ht="13.8" hidden="false" customHeight="false" outlineLevel="0" collapsed="false">
      <c r="A6" s="1" t="s">
        <v>40</v>
      </c>
      <c r="B6" s="1" t="s">
        <v>41</v>
      </c>
      <c r="C6" s="1" t="s">
        <v>42</v>
      </c>
      <c r="D6" s="1" t="n">
        <v>25000</v>
      </c>
      <c r="E6" s="1" t="n">
        <v>18000</v>
      </c>
      <c r="F6" s="1" t="s">
        <v>30</v>
      </c>
      <c r="G6" s="1" t="s">
        <v>37</v>
      </c>
      <c r="H6" s="1" t="s">
        <v>43</v>
      </c>
      <c r="I6" s="1" t="s">
        <v>44</v>
      </c>
      <c r="J6" s="1" t="n">
        <f aca="false">D6-E6</f>
        <v>7000</v>
      </c>
      <c r="K6" s="1" t="n">
        <f aca="false">ROUND(E6/D6*100,1)</f>
        <v>72</v>
      </c>
      <c r="L6" s="1" t="str">
        <f aca="false">IF(K6&gt;=90,"Critical",IF(K6&gt;=70,"Warning","On Track"))</f>
        <v>Warning</v>
      </c>
      <c r="M6" s="1" t="n">
        <f aca="false">IF(L6="Critical",1,IF(L6="Warning",2,3))</f>
        <v>2</v>
      </c>
    </row>
    <row r="7" customFormat="false" ht="13.8" hidden="false" customHeight="false" outlineLevel="0" collapsed="false">
      <c r="A7" s="1" t="s">
        <v>45</v>
      </c>
      <c r="B7" s="1" t="s">
        <v>46</v>
      </c>
      <c r="C7" s="1" t="s">
        <v>47</v>
      </c>
      <c r="D7" s="1" t="n">
        <v>50000</v>
      </c>
      <c r="E7" s="1" t="n">
        <v>35000</v>
      </c>
      <c r="F7" s="1" t="s">
        <v>30</v>
      </c>
      <c r="G7" s="1" t="s">
        <v>31</v>
      </c>
      <c r="H7" s="1" t="s">
        <v>48</v>
      </c>
      <c r="I7" s="1" t="s">
        <v>49</v>
      </c>
      <c r="J7" s="1" t="n">
        <f aca="false">D7-E7</f>
        <v>15000</v>
      </c>
      <c r="K7" s="1" t="n">
        <f aca="false">ROUND(E7/D7*100,1)</f>
        <v>70</v>
      </c>
      <c r="L7" s="1" t="str">
        <f aca="false">IF(K7&gt;=90,"Critical",IF(K7&gt;=70,"Warning","On Track"))</f>
        <v>Warning</v>
      </c>
      <c r="M7" s="1" t="n">
        <f aca="false">IF(L7="Critical",1,IF(L7="Warning",2,3))</f>
        <v>2</v>
      </c>
    </row>
    <row r="8" customFormat="false" ht="13.8" hidden="false" customHeight="false" outlineLevel="0" collapsed="false">
      <c r="A8" s="1" t="s">
        <v>50</v>
      </c>
      <c r="B8" s="1" t="s">
        <v>51</v>
      </c>
      <c r="C8" s="1" t="s">
        <v>52</v>
      </c>
      <c r="D8" s="1" t="n">
        <v>15000</v>
      </c>
      <c r="E8" s="1" t="n">
        <v>8000</v>
      </c>
      <c r="F8" s="1" t="s">
        <v>30</v>
      </c>
      <c r="G8" s="1" t="s">
        <v>23</v>
      </c>
      <c r="H8" s="1" t="s">
        <v>19</v>
      </c>
      <c r="I8" s="1" t="s">
        <v>53</v>
      </c>
      <c r="J8" s="1" t="n">
        <f aca="false">D8-E8</f>
        <v>7000</v>
      </c>
      <c r="K8" s="1" t="n">
        <f aca="false">ROUND(E8/D8*100,1)</f>
        <v>53.3</v>
      </c>
      <c r="L8" s="1" t="str">
        <f aca="false">IF(K8&gt;=90,"Critical",IF(K8&gt;=70,"Warning","On Track"))</f>
        <v>On Track</v>
      </c>
      <c r="M8" s="1" t="n">
        <f aca="false">IF(L8="Critical",1,IF(L8="Warning",2,3))</f>
        <v>3</v>
      </c>
    </row>
    <row r="9" customFormat="false" ht="13.8" hidden="false" customHeight="false" outlineLevel="0" collapsed="false">
      <c r="A9" s="1" t="s">
        <v>54</v>
      </c>
      <c r="B9" s="1" t="s">
        <v>55</v>
      </c>
      <c r="C9" s="1" t="s">
        <v>56</v>
      </c>
      <c r="D9" s="1" t="n">
        <v>45000</v>
      </c>
      <c r="E9" s="1" t="n">
        <v>20000</v>
      </c>
      <c r="F9" s="1" t="s">
        <v>30</v>
      </c>
      <c r="G9" s="1" t="s">
        <v>31</v>
      </c>
      <c r="H9" s="1" t="s">
        <v>57</v>
      </c>
      <c r="I9" s="1" t="s">
        <v>58</v>
      </c>
      <c r="J9" s="1" t="n">
        <f aca="false">D9-E9</f>
        <v>25000</v>
      </c>
      <c r="K9" s="1" t="n">
        <f aca="false">ROUND(E9/D9*100,1)</f>
        <v>44.4</v>
      </c>
      <c r="L9" s="1" t="str">
        <f aca="false">IF(K9&gt;=90,"Critical",IF(K9&gt;=70,"Warning","On Track"))</f>
        <v>On Track</v>
      </c>
      <c r="M9" s="1" t="n">
        <f aca="false">IF(L9="Critical",1,IF(L9="Warning",2,3))</f>
        <v>3</v>
      </c>
    </row>
    <row r="10" customFormat="false" ht="13.8" hidden="false" customHeight="false" outlineLevel="0" collapsed="false">
      <c r="A10" s="1" t="s">
        <v>59</v>
      </c>
      <c r="B10" s="1" t="s">
        <v>60</v>
      </c>
      <c r="C10" s="1" t="s">
        <v>61</v>
      </c>
      <c r="D10" s="1" t="n">
        <v>120000</v>
      </c>
      <c r="E10" s="1" t="n">
        <v>45000</v>
      </c>
      <c r="F10" s="1" t="s">
        <v>30</v>
      </c>
      <c r="G10" s="1" t="s">
        <v>37</v>
      </c>
      <c r="H10" s="1" t="s">
        <v>62</v>
      </c>
      <c r="I10" s="1" t="s">
        <v>63</v>
      </c>
      <c r="J10" s="1" t="n">
        <f aca="false">D10-E10</f>
        <v>75000</v>
      </c>
      <c r="K10" s="1" t="n">
        <f aca="false">ROUND(E10/D10*100,1)</f>
        <v>37.5</v>
      </c>
      <c r="L10" s="1" t="str">
        <f aca="false">IF(K10&gt;=90,"Critical",IF(K10&gt;=70,"Warning","On Track"))</f>
        <v>On Track</v>
      </c>
      <c r="M10" s="1" t="n">
        <f aca="false">IF(L10="Critical",1,IF(L10="Warning",2,3))</f>
        <v>3</v>
      </c>
    </row>
    <row r="11" customFormat="false" ht="13.8" hidden="false" customHeight="false" outlineLevel="0" collapsed="false">
      <c r="A11" s="1" t="s">
        <v>64</v>
      </c>
      <c r="B11" s="1" t="s">
        <v>65</v>
      </c>
      <c r="C11" s="1" t="s">
        <v>66</v>
      </c>
      <c r="D11" s="1" t="n">
        <v>35000</v>
      </c>
      <c r="E11" s="1" t="n">
        <v>10000</v>
      </c>
      <c r="F11" s="1" t="s">
        <v>67</v>
      </c>
      <c r="G11" s="1" t="s">
        <v>23</v>
      </c>
      <c r="H11" s="1" t="s">
        <v>68</v>
      </c>
      <c r="I11" s="1" t="s">
        <v>69</v>
      </c>
      <c r="J11" s="1" t="n">
        <f aca="false">D11-E11</f>
        <v>25000</v>
      </c>
      <c r="K11" s="1" t="n">
        <f aca="false">ROUND(E11/D11*100,1)</f>
        <v>28.6</v>
      </c>
      <c r="L11" s="1" t="str">
        <f aca="false">IF(K11&gt;=90,"Critical",IF(K11&gt;=70,"Warning","On Track"))</f>
        <v>On Track</v>
      </c>
      <c r="M11" s="1" t="n">
        <f aca="false">IF(L11="Critical",1,IF(L11="Warning",2,3))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false" hidden="false" outlineLevel="0" max="1024" min="1" style="1" width="9.14"/>
  </cols>
  <sheetData>
    <row r="1" customFormat="false" ht="13.8" hidden="false" customHeight="false" outlineLevel="0" collapsed="false">
      <c r="A1" s="1" t="s">
        <v>11</v>
      </c>
      <c r="B1" s="1" t="s">
        <v>70</v>
      </c>
      <c r="C1" s="1" t="s">
        <v>71</v>
      </c>
      <c r="D1" s="1" t="s">
        <v>72</v>
      </c>
    </row>
    <row r="2" customFormat="false" ht="13.8" hidden="false" customHeight="false" outlineLevel="0" collapsed="false">
      <c r="A2" s="1" t="s">
        <v>37</v>
      </c>
      <c r="B2" s="1" t="n">
        <v>4</v>
      </c>
      <c r="C2" s="1" t="n">
        <v>190000</v>
      </c>
      <c r="D2" s="1" t="n">
        <v>95.4</v>
      </c>
    </row>
    <row r="3" customFormat="false" ht="13.8" hidden="false" customHeight="false" outlineLevel="0" collapsed="false">
      <c r="A3" s="1" t="s">
        <v>73</v>
      </c>
      <c r="B3" s="1" t="n">
        <v>2</v>
      </c>
      <c r="C3" s="1" t="n">
        <v>75000</v>
      </c>
      <c r="D3" s="1" t="n">
        <v>71</v>
      </c>
    </row>
    <row r="4" customFormat="false" ht="13.8" hidden="false" customHeight="false" outlineLevel="0" collapsed="false">
      <c r="A4" s="1" t="s">
        <v>74</v>
      </c>
      <c r="B4" s="1" t="n">
        <v>4</v>
      </c>
      <c r="C4" s="1" t="n">
        <v>215000</v>
      </c>
      <c r="D4" s="1" t="n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false" hidden="false" outlineLevel="0" max="1024" min="1" style="1" width="9.14"/>
  </cols>
  <sheetData>
    <row r="1" s="2" customFormat="true" ht="13.8" hidden="false" customHeight="false" outlineLevel="0" collapsed="false">
      <c r="A1" s="2" t="s">
        <v>2</v>
      </c>
      <c r="B1" s="2" t="s">
        <v>75</v>
      </c>
      <c r="C1" s="2" t="s">
        <v>71</v>
      </c>
      <c r="D1" s="2" t="s">
        <v>76</v>
      </c>
    </row>
    <row r="2" customFormat="false" ht="13.8" hidden="false" customHeight="false" outlineLevel="0" collapsed="false">
      <c r="A2" s="1" t="s">
        <v>47</v>
      </c>
      <c r="B2" s="1" t="n">
        <v>1</v>
      </c>
      <c r="C2" s="1" t="n">
        <v>50000</v>
      </c>
      <c r="D2" s="1" t="n">
        <v>15000</v>
      </c>
    </row>
    <row r="3" customFormat="false" ht="13.8" hidden="false" customHeight="false" outlineLevel="0" collapsed="false">
      <c r="A3" s="1" t="s">
        <v>36</v>
      </c>
      <c r="B3" s="1" t="n">
        <v>1</v>
      </c>
      <c r="C3" s="1" t="n">
        <v>80000</v>
      </c>
      <c r="D3" s="1" t="n">
        <v>8000</v>
      </c>
    </row>
    <row r="4" customFormat="false" ht="13.8" hidden="false" customHeight="false" outlineLevel="0" collapsed="false">
      <c r="A4" s="1" t="s">
        <v>22</v>
      </c>
      <c r="B4" s="1" t="n">
        <v>1</v>
      </c>
      <c r="C4" s="1" t="n">
        <v>30000</v>
      </c>
      <c r="D4" s="1" t="n">
        <v>0</v>
      </c>
    </row>
    <row r="5" customFormat="false" ht="13.8" hidden="false" customHeight="false" outlineLevel="0" collapsed="false">
      <c r="A5" s="1" t="s">
        <v>56</v>
      </c>
      <c r="B5" s="1" t="n">
        <v>1</v>
      </c>
      <c r="C5" s="1" t="n">
        <v>45000</v>
      </c>
      <c r="D5" s="1" t="n">
        <v>25000</v>
      </c>
    </row>
    <row r="6" customFormat="false" ht="13.8" hidden="false" customHeight="false" outlineLevel="0" collapsed="false">
      <c r="A6" s="1" t="s">
        <v>42</v>
      </c>
      <c r="B6" s="1" t="n">
        <v>1</v>
      </c>
      <c r="C6" s="1" t="n">
        <v>25000</v>
      </c>
      <c r="D6" s="1" t="n">
        <v>7000</v>
      </c>
    </row>
    <row r="7" customFormat="false" ht="13.8" hidden="false" customHeight="false" outlineLevel="0" collapsed="false">
      <c r="A7" s="1" t="s">
        <v>66</v>
      </c>
      <c r="B7" s="1" t="n">
        <v>1</v>
      </c>
      <c r="C7" s="1" t="n">
        <v>35000</v>
      </c>
      <c r="D7" s="1" t="n">
        <v>25000</v>
      </c>
    </row>
    <row r="8" customFormat="false" ht="13.8" hidden="false" customHeight="false" outlineLevel="0" collapsed="false">
      <c r="A8" s="1" t="s">
        <v>29</v>
      </c>
      <c r="B8" s="1" t="n">
        <v>1</v>
      </c>
      <c r="C8" s="1" t="n">
        <v>60000</v>
      </c>
      <c r="D8" s="1" t="n">
        <v>5000</v>
      </c>
    </row>
    <row r="9" customFormat="false" ht="13.8" hidden="false" customHeight="false" outlineLevel="0" collapsed="false">
      <c r="A9" s="1" t="s">
        <v>61</v>
      </c>
      <c r="B9" s="1" t="n">
        <v>1</v>
      </c>
      <c r="C9" s="1" t="n">
        <v>120000</v>
      </c>
      <c r="D9" s="1" t="n">
        <v>75000</v>
      </c>
    </row>
    <row r="10" customFormat="false" ht="13.8" hidden="false" customHeight="false" outlineLevel="0" collapsed="false">
      <c r="A10" s="1" t="s">
        <v>15</v>
      </c>
      <c r="B10" s="1" t="n">
        <v>1</v>
      </c>
      <c r="C10" s="1" t="n">
        <v>20000</v>
      </c>
      <c r="D10" s="1" t="n">
        <v>0</v>
      </c>
    </row>
    <row r="11" customFormat="false" ht="13.8" hidden="false" customHeight="false" outlineLevel="0" collapsed="false">
      <c r="A11" s="1" t="s">
        <v>52</v>
      </c>
      <c r="B11" s="1" t="n">
        <v>1</v>
      </c>
      <c r="C11" s="1" t="n">
        <v>15000</v>
      </c>
      <c r="D11" s="1" t="n">
        <v>7000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2026-04-19T06:14:58Z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