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  <sheet name="QoQ_Growth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<sst xmlns="http://schemas.openxmlformats.org/spreadsheetml/2006/main" count="28" uniqueCount="22">
  <si>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</si>
  <si>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</si>
  <si>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</si>
  <si>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</si>
  <si>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</si>
  <si>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</si>
  <si>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</si>
  <si>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</si>
  <si>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</si>
  <si>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</t>
  </si>
  <si>
    <t xml:space="preserve">Annual Cost</t>
  </si>
  <si>
    <t xml:space="preserve">Annual Profit</t>
  </si>
  <si>
    <t xml:space="preserve">Profit Margin %</t>
  </si>
  <si>
    <t xml:space="preserve">Sales</t>
  </si>
  <si>
    <t xml:space="preserve">Engineering</t>
  </si>
  <si>
    <t xml:space="preserve">Marketing</t>
  </si>
  <si>
    <t xml:space="preserve">Operations</t>
  </si>
  <si>
    <t xml:space="preserve">HR</t>
  </si>
  <si>
    <t xml:space="preserve">Total</t>
  </si>
  <si>
    <t xml:space="preserve">Q1-Q2 Growth %</t>
  </si>
  <si>
    <t xml:space="preserve">Q2-Q3 Growth %</t>
  </si>
  <si>
    <t xml:space="preserve">Q3-Q4 Growth %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</si>
</sst>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200000</v>
      </c>
      <c r="C2" s="1" t="n">
        <v>100000</v>
      </c>
      <c r="D2" s="1" t="n">
        <v>220000</v>
      </c>
      <c r="E2" s="1" t="n">
        <v>110000</v>
      </c>
      <c r="F2" s="1" t="n">
        <v>250000</v>
      </c>
      <c r="G2" s="1" t="n">
        <v>120000</v>
      </c>
      <c r="H2" s="1" t="n">
        <v>280000</v>
      </c>
      <c r="I2" s="1" t="n">
        <v>130000</v>
      </c>
      <c r="J2" s="1" t="n">
        <f aca="false">B2+D2+F2+H2</f>
        <v>950000</v>
      </c>
      <c r="K2" s="1" t="n">
        <f aca="false">C2+E2+G2+I2</f>
        <v>460000</v>
      </c>
      <c r="L2" s="1" t="n">
        <f aca="false">J2-K2</f>
        <v>490000</v>
      </c>
      <c r="M2" s="1" t="n">
        <f aca="false">ROUND(L2/J2*100,1)</f>
        <v>51.6</v>
      </c>
    </row>
    <row r="3" customFormat="false" ht="13.8" hidden="false" customHeight="false" outlineLevel="0" collapsed="false">
      <c r="A3" s="1" t="s">
        <v>14</v>
      </c>
      <c r="B3" s="1" t="n">
        <v>150000</v>
      </c>
      <c r="C3" s="1" t="n">
        <v>120000</v>
      </c>
      <c r="D3" s="1" t="n">
        <v>165000</v>
      </c>
      <c r="E3" s="1" t="n">
        <v>125000</v>
      </c>
      <c r="F3" s="1" t="n">
        <v>180000</v>
      </c>
      <c r="G3" s="1" t="n">
        <v>130000</v>
      </c>
      <c r="H3" s="1" t="n">
        <v>200000</v>
      </c>
      <c r="I3" s="1" t="n">
        <v>140000</v>
      </c>
      <c r="J3" s="1" t="n">
        <f aca="false">B3+D3+F3+H3</f>
        <v>695000</v>
      </c>
      <c r="K3" s="1" t="n">
        <f aca="false">C3+E3+G3+I3</f>
        <v>515000</v>
      </c>
      <c r="L3" s="1" t="n">
        <f aca="false">J3-K3</f>
        <v>180000</v>
      </c>
      <c r="M3" s="1" t="n">
        <f aca="false">ROUND(L3/J3*100,1)</f>
        <v>25.9</v>
      </c>
    </row>
    <row r="4" customFormat="false" ht="13.8" hidden="false" customHeight="false" outlineLevel="0" collapsed="false">
      <c r="A4" s="1" t="s">
        <v>15</v>
      </c>
      <c r="B4" s="1" t="n">
        <v>80000</v>
      </c>
      <c r="C4" s="1" t="n">
        <v>60000</v>
      </c>
      <c r="D4" s="1" t="n">
        <v>90000</v>
      </c>
      <c r="E4" s="1" t="n">
        <v>65000</v>
      </c>
      <c r="F4" s="1" t="n">
        <v>95000</v>
      </c>
      <c r="G4" s="1" t="n">
        <v>70000</v>
      </c>
      <c r="H4" s="1" t="n">
        <v>110000</v>
      </c>
      <c r="I4" s="1" t="n">
        <v>75000</v>
      </c>
      <c r="J4" s="1" t="n">
        <f aca="false">B4+D4+F4+H4</f>
        <v>375000</v>
      </c>
      <c r="K4" s="1" t="n">
        <f aca="false">C4+E4+G4+I4</f>
        <v>270000</v>
      </c>
      <c r="L4" s="1" t="n">
        <f aca="false">J4-K4</f>
        <v>105000</v>
      </c>
      <c r="M4" s="1" t="n">
        <f aca="false">ROUND(L4/J4*100,1)</f>
        <v>28</v>
      </c>
    </row>
    <row r="5" customFormat="false" ht="13.8" hidden="false" customHeight="false" outlineLevel="0" collapsed="false">
      <c r="A5" s="1" t="s">
        <v>16</v>
      </c>
      <c r="B5" s="1" t="n">
        <v>100000</v>
      </c>
      <c r="C5" s="1" t="n">
        <v>85000</v>
      </c>
      <c r="D5" s="1" t="n">
        <v>110000</v>
      </c>
      <c r="E5" s="1" t="n">
        <v>90000</v>
      </c>
      <c r="F5" s="1" t="n">
        <v>120000</v>
      </c>
      <c r="G5" s="1" t="n">
        <v>95000</v>
      </c>
      <c r="H5" s="1" t="n">
        <v>130000</v>
      </c>
      <c r="I5" s="1" t="n">
        <v>100000</v>
      </c>
      <c r="J5" s="1" t="n">
        <f aca="false">B5+D5+F5+H5</f>
        <v>460000</v>
      </c>
      <c r="K5" s="1" t="n">
        <f aca="false">C5+E5+G5+I5</f>
        <v>370000</v>
      </c>
      <c r="L5" s="1" t="n">
        <f aca="false">J5-K5</f>
        <v>90000</v>
      </c>
      <c r="M5" s="1" t="n">
        <f aca="false">ROUND(L5/J5*100,1)</f>
        <v>19.6</v>
      </c>
    </row>
    <row r="6" customFormat="false" ht="13.8" hidden="false" customHeight="false" outlineLevel="0" collapsed="false">
      <c r="A6" s="1" t="s">
        <v>17</v>
      </c>
      <c r="B6" s="1" t="n">
        <v>30000</v>
      </c>
      <c r="C6" s="1" t="n">
        <v>25000</v>
      </c>
      <c r="D6" s="1" t="n">
        <v>32000</v>
      </c>
      <c r="E6" s="1" t="n">
        <v>26000</v>
      </c>
      <c r="F6" s="1" t="n">
        <v>35000</v>
      </c>
      <c r="G6" s="1" t="n">
        <v>28000</v>
      </c>
      <c r="H6" s="1" t="n">
        <v>38000</v>
      </c>
      <c r="I6" s="1" t="n">
        <v>30000</v>
      </c>
      <c r="J6" s="1" t="n">
        <f aca="false">B6+D6+F6+H6</f>
        <v>135000</v>
      </c>
      <c r="K6" s="1" t="n">
        <f aca="false">C6+E6+G6+I6</f>
        <v>109000</v>
      </c>
      <c r="L6" s="1" t="n">
        <f aca="false">J6-K6</f>
        <v>26000</v>
      </c>
      <c r="M6" s="1" t="n">
        <f aca="false">ROUND(L6/J6*100,1)</f>
        <v>19.3</v>
      </c>
    </row>
    <row r="7" customFormat="false" ht="15" hidden="false" customHeight="false" outlineLevel="0" collapsed="false">
      <c r="A7" s="1" t="s">
        <v>18</v>
      </c>
      <c r="B7" s="1" t="n">
        <v>560000</v>
      </c>
      <c r="C7" s="1" t="n">
        <v>390000</v>
      </c>
      <c r="D7" s="1" t="n">
        <v>617000</v>
      </c>
      <c r="E7" s="1" t="n">
        <v>416000</v>
      </c>
      <c r="F7" s="1" t="n">
        <v>680000</v>
      </c>
      <c r="G7" s="1" t="n">
        <v>443000</v>
      </c>
      <c r="H7" s="1" t="n">
        <v>758000</v>
      </c>
      <c r="I7" s="1" t="n">
        <v>475000</v>
      </c>
      <c r="J7" s="1" t="n">
        <f aca="false">SUM(J2:J6)</f>
        <v>2615000</v>
      </c>
      <c r="K7" s="1" t="n">
        <f aca="false">SUM(K2:K6)</f>
        <v>1724000</v>
      </c>
      <c r="L7" s="1" t="n">
        <f aca="false">J7-K7</f>
        <v>891000</v>
      </c>
      <c r="M7" s="1" t="n">
        <f aca="false">ROUND(L7/J7*100,1)</f>
        <v>34.1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9.1640625" defaultRowHeight="12.8" zeroHeight="false" outlineLevelRow="0" outlineLevelCol="0"/>
  <sheetData>
    <row r="1" s="2" customFormat="true" ht="13.8" hidden="false" customHeight="false" outlineLevel="0" collapsed="false">
      <c r="A1" s="2" t="s">
        <v>0</v>
      </c>
      <c r="B1" s="2" t="s">
        <v>19</v>
      </c>
      <c r="C1" s="2" t="s">
        <v>20</v>
      </c>
      <c r="D1" s="2" t="s">
        <v>21</v>
      </c>
    </row>
    <row r="2" customFormat="false" ht="13.8" hidden="false" customHeight="false" outlineLevel="0" collapsed="false">
      <c r="A2" s="1" t="s">
        <v>13</v>
      </c>
      <c r="B2" s="1" t="n">
        <f aca="false">ROUND(('Q1-Q4'!D2-'Q1-Q4'!B2)/'Q1-Q4'!B2*100,1)</f>
        <v>10</v>
      </c>
      <c r="C2" s="1" t="n">
        <f aca="false">ROUND(('Q1-Q4'!F2-'Q1-Q4'!D2)/'Q1-Q4'!D2*100,1)</f>
        <v>13.6</v>
      </c>
      <c r="D2" s="1" t="n">
        <f aca="false">ROUND(('Q1-Q4'!H2-'Q1-Q4'!F2)/'Q1-Q4'!F2*100,1)</f>
        <v>12</v>
      </c>
    </row>
    <row r="3" customFormat="false" ht="13.8" hidden="false" customHeight="false" outlineLevel="0" collapsed="false">
      <c r="A3" s="1" t="s">
        <v>14</v>
      </c>
      <c r="B3" s="1" t="n">
        <f aca="false">ROUND(('Q1-Q4'!D3-'Q1-Q4'!B3)/'Q1-Q4'!B3*100,1)</f>
        <v>10</v>
      </c>
      <c r="C3" s="1" t="n">
        <f aca="false">ROUND(('Q1-Q4'!F3-'Q1-Q4'!D3)/'Q1-Q4'!D3*100,1)</f>
        <v>9.1</v>
      </c>
      <c r="D3" s="1" t="n">
        <f aca="false">ROUND(('Q1-Q4'!H3-'Q1-Q4'!F3)/'Q1-Q4'!F3*100,1)</f>
        <v>11.1</v>
      </c>
    </row>
    <row r="4" customFormat="false" ht="13.8" hidden="false" customHeight="false" outlineLevel="0" collapsed="false">
      <c r="A4" s="1" t="s">
        <v>15</v>
      </c>
      <c r="B4" s="1" t="n">
        <f aca="false">ROUND(('Q1-Q4'!D4-'Q1-Q4'!B4)/'Q1-Q4'!B4*100,1)</f>
        <v>12.5</v>
      </c>
      <c r="C4" s="1" t="n">
        <f aca="false">ROUND(('Q1-Q4'!F4-'Q1-Q4'!D4)/'Q1-Q4'!D4*100,1)</f>
        <v>5.6</v>
      </c>
      <c r="D4" s="1" t="n">
        <f aca="false">ROUND(('Q1-Q4'!H4-'Q1-Q4'!F4)/'Q1-Q4'!F4*100,1)</f>
        <v>15.8</v>
      </c>
    </row>
    <row r="5" customFormat="false" ht="13.8" hidden="false" customHeight="false" outlineLevel="0" collapsed="false">
      <c r="A5" s="1" t="s">
        <v>16</v>
      </c>
      <c r="B5" s="1" t="n">
        <f aca="false">ROUND(('Q1-Q4'!D5-'Q1-Q4'!B5)/'Q1-Q4'!B5*100,1)</f>
        <v>10</v>
      </c>
      <c r="C5" s="1" t="n">
        <f aca="false">ROUND(('Q1-Q4'!F5-'Q1-Q4'!D5)/'Q1-Q4'!D5*100,1)</f>
        <v>9.1</v>
      </c>
      <c r="D5" s="1" t="n">
        <f aca="false">ROUND(('Q1-Q4'!H5-'Q1-Q4'!F5)/'Q1-Q4'!F5*100,1)</f>
        <v>8.3</v>
      </c>
    </row>
    <row r="6" customFormat="false" ht="13.8" hidden="false" customHeight="false" outlineLevel="0" collapsed="false">
      <c r="A6" s="1" t="s">
        <v>17</v>
      </c>
      <c r="B6" s="1" t="n">
        <f aca="false">ROUND(('Q1-Q4'!D6-'Q1-Q4'!B6)/'Q1-Q4'!B6*100,1)</f>
        <v>6.7</v>
      </c>
      <c r="C6" s="1" t="n">
        <f aca="false">ROUND(('Q1-Q4'!F6-'Q1-Q4'!D6)/'Q1-Q4'!D6*100,1)</f>
        <v>9.4</v>
      </c>
      <c r="D6" s="1" t="n">
        <f aca="false">ROUND(('Q1-Q4'!H6-'Q1-Q4'!F6)/'Q1-Q4'!F6*100,1)</f>
        <v>8.6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2026-04-19T06:41:40Z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