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Q1-Q4" sheetId="1" state="visible" r:id="rId2"/>
    <sheet name="QoQ_Growth" sheetId="2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<sst xmlns="http://schemas.openxmlformats.org/spreadsheetml/2006/main" count="31" uniqueCount="22">
  <si>
    <t xml:space="preserve">Department</t>
  </si>
  <si>
    <t xml:space="preserve">Q1 Revenue</t>
  </si>
  <si>
    <t xml:space="preserve">Q1 Cost</t>
  </si>
  <si>
    <t xml:space="preserve">Q2 Revenue</t>
  </si>
  <si>
    <t xml:space="preserve">Q2 Cost</t>
  </si>
  <si>
    <t xml:space="preserve">Q3 Revenue</t>
  </si>
  <si>
    <t xml:space="preserve">Q3 Cost</t>
  </si>
  <si>
    <t xml:space="preserve">Q4 Revenue</t>
  </si>
  <si>
    <t xml:space="preserve">Q4 Cost</t>
  </si>
  <si>
    <t xml:space="preserve">Annual Revenue</t>
  </si>
  <si>
    <t xml:space="preserve">Annual Cost</t>
  </si>
  <si>
    <t xml:space="preserve">Annual Profit</t>
  </si>
  <si>
    <t xml:space="preserve">Profit Margin %</t>
  </si>
  <si>
    <t xml:space="preserve">Sales</t>
  </si>
  <si>
    <t xml:space="preserve">Engineering</t>
  </si>
  <si>
    <t xml:space="preserve">Marketing</t>
  </si>
  <si>
    <t xml:space="preserve">Operations</t>
  </si>
  <si>
    <t xml:space="preserve">HR</t>
  </si>
  <si>
    <t xml:space="preserve">Total</t>
  </si>
  <si>
    <t xml:space="preserve">Q1-Q2 Growth %</t>
  </si>
  <si>
    <t xml:space="preserve">Q2-Q3 Growth %</t>
  </si>
  <si>
    <t xml:space="preserve">Q3-Q4 Growth %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</si>
</sst>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5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000000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00FFFFFF"/>
        </patternFill>
      </fill>
    </dxf>
    <dxf>
      <fill>
        <patternFill patternType="solid">
          <fgColor rgb="FF3D3D3D"/>
          <bgColor rgb="FFFFFFFF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M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M7" activeCellId="0" sqref="M7"/>
    </sheetView>
  </sheetViews>
  <sheetFormatPr defaultColWidth="8.54296875" defaultRowHeight="15" zeroHeight="false" outlineLevelRow="0" outlineLevelCol="0"/>
  <sheetData>
    <row r="1" s="1" customFormat="true" ht="13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customFormat="false" ht="13.8" hidden="false" customHeight="false" outlineLevel="0" collapsed="false">
      <c r="A2" s="2" t="s">
        <v>13</v>
      </c>
      <c r="B2" s="2" t="n">
        <v>200000</v>
      </c>
      <c r="C2" s="2" t="n">
        <v>100000</v>
      </c>
      <c r="D2" s="2" t="n">
        <v>220000</v>
      </c>
      <c r="E2" s="2" t="n">
        <v>110000</v>
      </c>
      <c r="F2" s="2" t="n">
        <v>250000</v>
      </c>
      <c r="G2" s="2" t="n">
        <v>120000</v>
      </c>
      <c r="H2" s="2" t="n">
        <v>280000</v>
      </c>
      <c r="I2" s="2" t="n">
        <v>130000</v>
      </c>
      <c r="J2" s="3" t="n">
        <f aca="false">B2+D2+F2+H2</f>
        <v>950000</v>
      </c>
      <c r="K2" s="3" t="n">
        <f aca="false">C2+E2+G2+I2</f>
        <v>460000</v>
      </c>
      <c r="L2" s="3" t="n">
        <f aca="false">SUM(J2-K2)</f>
        <v>490000</v>
      </c>
      <c r="M2" s="2" t="n">
        <f aca="false">ROUND(L2/J2*100,1)</f>
        <v>51.6</v>
      </c>
    </row>
    <row r="3" customFormat="false" ht="13.8" hidden="false" customHeight="false" outlineLevel="0" collapsed="false">
      <c r="A3" s="2" t="s">
        <v>14</v>
      </c>
      <c r="B3" s="2" t="n">
        <v>150000</v>
      </c>
      <c r="C3" s="2" t="n">
        <v>120000</v>
      </c>
      <c r="D3" s="2" t="n">
        <v>165000</v>
      </c>
      <c r="E3" s="2" t="n">
        <v>125000</v>
      </c>
      <c r="F3" s="2" t="n">
        <v>180000</v>
      </c>
      <c r="G3" s="2" t="n">
        <v>130000</v>
      </c>
      <c r="H3" s="2" t="n">
        <v>200000</v>
      </c>
      <c r="I3" s="2" t="n">
        <v>140000</v>
      </c>
      <c r="J3" s="2" t="n">
        <f aca="false">B3+D3+F3+H3</f>
        <v>695000</v>
      </c>
      <c r="K3" s="2" t="n">
        <f aca="false">C3+E3+G3+I3</f>
        <v>515000</v>
      </c>
      <c r="L3" s="2" t="n">
        <f aca="false">J3-K3</f>
        <v>180000</v>
      </c>
      <c r="M3" s="2" t="n">
        <f aca="false">ROUND(L3/J3*100,1)</f>
        <v>25.9</v>
      </c>
    </row>
    <row r="4" customFormat="false" ht="13.8" hidden="false" customHeight="false" outlineLevel="0" collapsed="false">
      <c r="A4" s="2" t="s">
        <v>15</v>
      </c>
      <c r="B4" s="2" t="n">
        <v>80000</v>
      </c>
      <c r="C4" s="2" t="n">
        <v>60000</v>
      </c>
      <c r="D4" s="2" t="n">
        <v>90000</v>
      </c>
      <c r="E4" s="2" t="n">
        <v>65000</v>
      </c>
      <c r="F4" s="2" t="n">
        <v>95000</v>
      </c>
      <c r="G4" s="2" t="n">
        <v>70000</v>
      </c>
      <c r="H4" s="2" t="n">
        <v>110000</v>
      </c>
      <c r="I4" s="2" t="n">
        <v>75000</v>
      </c>
      <c r="J4" s="2" t="n">
        <f aca="false">B4+D4+F4+H4</f>
        <v>375000</v>
      </c>
      <c r="K4" s="2" t="n">
        <f aca="false">C4+E4+G4+I4</f>
        <v>270000</v>
      </c>
      <c r="L4" s="2" t="n">
        <f aca="false">J4-K4</f>
        <v>105000</v>
      </c>
      <c r="M4" s="2" t="n">
        <f aca="false">ROUND(L4/J4*100,1)</f>
        <v>28</v>
      </c>
    </row>
    <row r="5" customFormat="false" ht="13.8" hidden="false" customHeight="false" outlineLevel="0" collapsed="false">
      <c r="A5" s="2" t="s">
        <v>16</v>
      </c>
      <c r="B5" s="2" t="n">
        <v>100000</v>
      </c>
      <c r="C5" s="2" t="n">
        <v>85000</v>
      </c>
      <c r="D5" s="2" t="n">
        <v>110000</v>
      </c>
      <c r="E5" s="2" t="n">
        <v>90000</v>
      </c>
      <c r="F5" s="2" t="n">
        <v>120000</v>
      </c>
      <c r="G5" s="2" t="n">
        <v>95000</v>
      </c>
      <c r="H5" s="2" t="n">
        <v>130000</v>
      </c>
      <c r="I5" s="2" t="n">
        <v>100000</v>
      </c>
      <c r="J5" s="2" t="n">
        <f aca="false">B5+D5+F5+H5</f>
        <v>460000</v>
      </c>
      <c r="K5" s="2" t="n">
        <f aca="false">C5+E5+G5+I5</f>
        <v>370000</v>
      </c>
      <c r="L5" s="2" t="n">
        <f aca="false">J5-K5</f>
        <v>90000</v>
      </c>
      <c r="M5" s="2" t="n">
        <f aca="false">ROUND(L5/J5*100,1)</f>
        <v>19.6</v>
      </c>
    </row>
    <row r="6" customFormat="false" ht="13.8" hidden="false" customHeight="false" outlineLevel="0" collapsed="false">
      <c r="A6" s="2" t="s">
        <v>17</v>
      </c>
      <c r="B6" s="2" t="n">
        <v>30000</v>
      </c>
      <c r="C6" s="2" t="n">
        <v>25000</v>
      </c>
      <c r="D6" s="2" t="n">
        <v>32000</v>
      </c>
      <c r="E6" s="2" t="n">
        <v>26000</v>
      </c>
      <c r="F6" s="2" t="n">
        <v>35000</v>
      </c>
      <c r="G6" s="2" t="n">
        <v>28000</v>
      </c>
      <c r="H6" s="2" t="n">
        <v>38000</v>
      </c>
      <c r="I6" s="2" t="n">
        <v>30000</v>
      </c>
      <c r="J6" s="2" t="n">
        <f aca="false">SUM(B6:H6)</f>
        <v>214000</v>
      </c>
      <c r="K6" s="2" t="n">
        <f aca="false">SUM(C6:I6)</f>
        <v>214000</v>
      </c>
      <c r="L6" s="2" t="n">
        <f aca="false">J6-K6</f>
        <v>0</v>
      </c>
      <c r="M6" s="4" t="e">
        <f aca="false">ROUND(L6/J6*100,1)=ROUND(L9/J9*100,1)</f>
        <v>#DIV/0!</v>
      </c>
    </row>
    <row r="7" customFormat="false" ht="13.8" hidden="false" customHeight="false" outlineLevel="0" collapsed="false">
      <c r="A7" s="2" t="s">
        <v>18</v>
      </c>
      <c r="B7" s="2" t="n">
        <f aca="false">SUM(B2:B6)</f>
        <v>560000</v>
      </c>
      <c r="C7" s="2" t="n">
        <f aca="false">SUM(C2:C6)</f>
        <v>390000</v>
      </c>
      <c r="D7" s="2" t="n">
        <f aca="false">SUM(D2:D6)</f>
        <v>617000</v>
      </c>
      <c r="E7" s="2" t="n">
        <f aca="false">SUM(E2:E6)</f>
        <v>416000</v>
      </c>
      <c r="F7" s="2" t="n">
        <f aca="false">SUM(F2:F6)</f>
        <v>680000</v>
      </c>
      <c r="G7" s="2" t="n">
        <f aca="false">SUM(G2:G6)</f>
        <v>443000</v>
      </c>
      <c r="H7" s="2" t="n">
        <f aca="false">SUM(H2:H6)</f>
        <v>758000</v>
      </c>
      <c r="I7" s="2" t="n">
        <f aca="false">SUM(I2:I6)</f>
        <v>475000</v>
      </c>
      <c r="J7" s="2" t="n">
        <f aca="false">SUM(J2:J6)</f>
        <v>2694000</v>
      </c>
      <c r="K7" s="2" t="n">
        <f aca="false">SUM(K2:K6)</f>
        <v>1829000</v>
      </c>
      <c r="L7" s="2" t="n">
        <f aca="false">SUM(L2:L6)</f>
        <v>865000</v>
      </c>
      <c r="M7" s="2" t="n">
        <f aca="false">L7/J7*100</f>
        <v>32.1083890126206</v>
      </c>
    </row>
    <row r="1048575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M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4" activeCellId="0" sqref="B4"/>
    </sheetView>
  </sheetViews>
  <sheetFormatPr defaultColWidth="9.171875" defaultRowHeight="12.8" zeroHeight="false" outlineLevelRow="0" outlineLevelCol="0"/>
  <sheetData>
    <row r="1" s="2" customFormat="true" ht="13.8" hidden="false" customHeight="false" outlineLevel="0" collapsed="false">
      <c r="A1" s="1" t="s">
        <v>0</v>
      </c>
      <c r="B1" s="2" t="s">
        <v>19</v>
      </c>
      <c r="C1" s="2" t="s">
        <v>20</v>
      </c>
      <c r="D1" s="2" t="s">
        <v>21</v>
      </c>
      <c r="J1" s="2" t="s">
        <v>9</v>
      </c>
      <c r="K1" s="2" t="s">
        <v>10</v>
      </c>
      <c r="L1" s="2" t="s">
        <v>11</v>
      </c>
    </row>
    <row r="2" customFormat="false" ht="13.8" hidden="false" customHeight="false" outlineLevel="0" collapsed="false">
      <c r="A2" s="2" t="s">
        <v>16</v>
      </c>
      <c r="B2" s="2" t="n">
        <f aca="false">ROUND(('Q1-Q4'!C3-'Q1-Q4'!B3)/'Q1-Q4'!B3*100,1)</f>
        <v>-20</v>
      </c>
      <c r="C2" s="2" t="n">
        <f aca="false">ROUND(('Q1-Q4'!D3-'Q1-Q4'!C3)/'Q1-Q4'!C3*100,1)</f>
        <v>37.5</v>
      </c>
      <c r="D2" s="2" t="n">
        <f aca="false">ROUND(('Q1-Q4'!D3-'Q1-Q4'!E3)/'Q1-Q4'!E3*100,1)</f>
        <v>32</v>
      </c>
      <c r="J2" s="5" t="n">
        <f aca="false">B2*100</f>
        <v>-2000</v>
      </c>
      <c r="K2" s="5" t="n">
        <f aca="false">J2*0.7</f>
        <v>-1400</v>
      </c>
      <c r="L2" s="5" t="n">
        <f aca="false">J2-K2</f>
        <v>-600</v>
      </c>
      <c r="M2" s="5" t="n">
        <f aca="false">L2/J2*100</f>
        <v>30</v>
      </c>
    </row>
    <row r="3" customFormat="false" ht="13.8" hidden="false" customHeight="false" outlineLevel="0" collapsed="false">
      <c r="A3" s="2" t="s">
        <v>17</v>
      </c>
      <c r="B3" s="2" t="n">
        <f aca="false">ROUND(('Q1-Q4'!C4-'Q1-Q4'!B4)/'Q1-Q4'!B4*100,1)</f>
        <v>-25</v>
      </c>
      <c r="C3" s="2" t="n">
        <f aca="false">ROUND(('Q1-Q4'!D4-'Q1-Q4'!C4)/'Q1-Q4'!C4*100,1)</f>
        <v>50</v>
      </c>
      <c r="D3" s="2" t="n">
        <f aca="false">ROUND(('Q1-Q4'!D4-'Q1-Q4'!E4)/'Q1-Q4'!E4*100,1)</f>
        <v>38.5</v>
      </c>
      <c r="J3" s="5" t="n">
        <f aca="false">B3*100</f>
        <v>-2500</v>
      </c>
      <c r="K3" s="5" t="n">
        <f aca="false">J3*0.7</f>
        <v>-1750</v>
      </c>
      <c r="L3" s="5" t="n">
        <f aca="false">J3-K3</f>
        <v>-750</v>
      </c>
      <c r="M3" s="5" t="n">
        <f aca="false">L3/J3*100</f>
        <v>30</v>
      </c>
    </row>
    <row r="4" customFormat="false" ht="13.8" hidden="false" customHeight="false" outlineLevel="0" collapsed="false">
      <c r="A4" s="2" t="s">
        <v>14</v>
      </c>
      <c r="B4" s="2" t="e">
        <f aca="false">ROUND((#REF!-#REF!)/#REF!*100,1)</f>
        <v>#REF!</v>
      </c>
      <c r="C4" s="2" t="e">
        <f aca="false">ROUND((#REF!-#REF!)/#REF!*100,1)</f>
        <v>#REF!</v>
      </c>
      <c r="D4" s="2" t="e">
        <f aca="false">ROUND((#REF!-#REF!)/#REF!*100,1)</f>
        <v>#REF!</v>
      </c>
      <c r="J4" s="5" t="e">
        <f aca="false">B4*100</f>
        <v>#REF!</v>
      </c>
      <c r="K4" s="5" t="e">
        <f aca="false">J4*0.7</f>
        <v>#REF!</v>
      </c>
      <c r="L4" s="5" t="e">
        <f aca="false">J4-K4</f>
        <v>#REF!</v>
      </c>
      <c r="M4" s="5" t="e">
        <f aca="false">L4/J4*100</f>
        <v>#REF!</v>
      </c>
    </row>
    <row r="5" customFormat="false" ht="13.8" hidden="false" customHeight="false" outlineLevel="0" collapsed="false">
      <c r="A5" s="2" t="s">
        <v>15</v>
      </c>
      <c r="B5" s="2" t="n">
        <f aca="false">ROUND(('Q1-Q4'!C2-'Q1-Q4'!B2)/'Q1-Q4'!B2*100,1)</f>
        <v>-50</v>
      </c>
      <c r="C5" s="2" t="n">
        <f aca="false">ROUND(('Q1-Q4'!D2-'Q1-Q4'!C2)/'Q1-Q4'!C2*100,1)</f>
        <v>120</v>
      </c>
      <c r="D5" s="2" t="n">
        <f aca="false">ROUND(('Q1-Q4'!D2-'Q1-Q4'!E2)/'Q1-Q4'!E2*100,1)</f>
        <v>100</v>
      </c>
      <c r="J5" s="5" t="n">
        <f aca="false">B5*100</f>
        <v>-5000</v>
      </c>
      <c r="K5" s="5" t="n">
        <f aca="false">J5*0.7</f>
        <v>-3500</v>
      </c>
      <c r="L5" s="5" t="n">
        <f aca="false">J5-K5</f>
        <v>-1500</v>
      </c>
      <c r="M5" s="5" t="n">
        <f aca="false">L5/J5*100</f>
        <v>30</v>
      </c>
    </row>
    <row r="6" customFormat="false" ht="13.8" hidden="false" customHeight="false" outlineLevel="0" collapsed="false">
      <c r="L6" s="5" t="e">
        <f aca="false">SUM(L1:L5)</f>
        <v>#REF!</v>
      </c>
      <c r="M6" s="5" t="n">
        <f aca="false">IFERROR(L5/J5*100,0)</f>
        <v>30</v>
      </c>
    </row>
    <row r="7" customFormat="false" ht="13.8" hidden="false" customHeight="false" outlineLevel="0" collapsed="false">
      <c r="A7" s="2" t="s">
        <v>13</v>
      </c>
      <c r="B7" s="2" t="e">
        <f aca="false">ROUND((#REF!-#REF!)/#REF!*100,1)</f>
        <v>#REF!</v>
      </c>
      <c r="C7" s="2" t="e">
        <f aca="false">ROUND((#REF!-#REF!)/#REF!*100,1)</f>
        <v>#REF!</v>
      </c>
      <c r="D7" s="2" t="e">
        <f aca="false">ROUND((#REF!-#REF!)/#REF!*100,1)</f>
        <v>#REF!</v>
      </c>
      <c r="J7" s="5" t="e">
        <f aca="false">B7*100</f>
        <v>#REF!</v>
      </c>
      <c r="K7" s="5" t="e">
        <f aca="false">SUM(K3:K7)</f>
        <v>#VALUE!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38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2026-03-26T08:57:04Z</dcterms:created>
  <dc:creator>openpyxl</dc:creator>
  <dc:description/>
  <dc:language>en-HK</dc:language>
  <cp:lastModifiedBy/>
  <dcterms:modified xsi:type="dcterms:W3CDTF">2026-04-26T23:37:42Z</dcterms:modified>
  <cp:revision>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