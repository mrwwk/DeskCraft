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cts" sheetId="1" state="visible" r:id="rId2"/>
    <sheet name="StatussSummary" sheetId="2" state="visible" r:id="rId3"/>
    <sheet name="StatusSummary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<sst xmlns="http://schemas.openxmlformats.org/spreadsheetml/2006/main" count="94" uniqueCount="71">
  <si>
    <t xml:space="preserve">Project ID</t>
  </si>
  <si>
    <t xml:space="preserve">Project Name</t>
  </si>
  <si>
    <t xml:space="preserve">Team Lead</t>
  </si>
  <si>
    <t xml:space="preserve">Budget</t>
  </si>
  <si>
    <t xml:space="preserve">Spent</t>
  </si>
  <si>
    <t xml:space="preserve">Status</t>
  </si>
  <si>
    <t xml:space="preserve">Priority</t>
  </si>
  <si>
    <t xml:space="preserve">Start Date</t>
  </si>
  <si>
    <t xml:space="preserve">End Date</t>
  </si>
  <si>
    <t xml:space="preserve">P-001</t>
  </si>
  <si>
    <t xml:space="preserve">Website Redesign</t>
  </si>
  <si>
    <t xml:space="preserve">Alice Johnson</t>
  </si>
  <si>
    <t xml:space="preserve">In Progress</t>
  </si>
  <si>
    <t xml:space="preserve">High</t>
  </si>
  <si>
    <t xml:space="preserve">2025-01-15</t>
  </si>
  <si>
    <t xml:space="preserve">2025-06-30</t>
  </si>
  <si>
    <t xml:space="preserve">P-002</t>
  </si>
  <si>
    <t xml:space="preserve">Mobile App v2</t>
  </si>
  <si>
    <t xml:space="preserve">Bob Smith</t>
  </si>
  <si>
    <t xml:space="preserve">Critical</t>
  </si>
  <si>
    <t xml:space="preserve">2024-11-01</t>
  </si>
  <si>
    <t xml:space="preserve">2025-05-15</t>
  </si>
  <si>
    <t xml:space="preserve">P-003</t>
  </si>
  <si>
    <t xml:space="preserve">Data Migration</t>
  </si>
  <si>
    <t xml:space="preserve">Carol Davis</t>
  </si>
  <si>
    <t xml:space="preserve">Completed</t>
  </si>
  <si>
    <t xml:space="preserve">Medium</t>
  </si>
  <si>
    <t xml:space="preserve">2025-02-01</t>
  </si>
  <si>
    <t xml:space="preserve">2025-04-30</t>
  </si>
  <si>
    <t xml:space="preserve">P-004</t>
  </si>
  <si>
    <t xml:space="preserve">CRM Integration</t>
  </si>
  <si>
    <t xml:space="preserve">David Wilson</t>
  </si>
  <si>
    <t xml:space="preserve">2025-03-01</t>
  </si>
  <si>
    <t xml:space="preserve">2025-08-31</t>
  </si>
  <si>
    <t xml:space="preserve">P-005</t>
  </si>
  <si>
    <t xml:space="preserve">Security Audit</t>
  </si>
  <si>
    <t xml:space="preserve">Eva Martinez</t>
  </si>
  <si>
    <t xml:space="preserve">2025-04-01</t>
  </si>
  <si>
    <t xml:space="preserve">2025-07-15</t>
  </si>
  <si>
    <t xml:space="preserve">P-006</t>
  </si>
  <si>
    <t xml:space="preserve">Analytics Dashboard</t>
  </si>
  <si>
    <t xml:space="preserve">Frank Brown</t>
  </si>
  <si>
    <t xml:space="preserve">Planning</t>
  </si>
  <si>
    <t xml:space="preserve">2025-06-01</t>
  </si>
  <si>
    <t xml:space="preserve">2025-10-31</t>
  </si>
  <si>
    <t xml:space="preserve">P-007</t>
  </si>
  <si>
    <t xml:space="preserve">API Gateway</t>
  </si>
  <si>
    <t xml:space="preserve">Grace Lee</t>
  </si>
  <si>
    <t xml:space="preserve">2024-12-01</t>
  </si>
  <si>
    <t xml:space="preserve">2025-06-15</t>
  </si>
  <si>
    <t xml:space="preserve">P-008</t>
  </si>
  <si>
    <t xml:space="preserve">Cloud Migration</t>
  </si>
  <si>
    <t xml:space="preserve">Henry Taylor</t>
  </si>
  <si>
    <t xml:space="preserve">2025-01-01</t>
  </si>
  <si>
    <t xml:space="preserve">2025-12-31</t>
  </si>
  <si>
    <t xml:space="preserve">P-009</t>
  </si>
  <si>
    <t xml:space="preserve">Training Portal</t>
  </si>
  <si>
    <t xml:space="preserve">Iris Chen</t>
  </si>
  <si>
    <t xml:space="preserve">Low</t>
  </si>
  <si>
    <t xml:space="preserve">2025-02-15</t>
  </si>
  <si>
    <t xml:space="preserve">2025-05-01</t>
  </si>
  <si>
    <t xml:space="preserve">P-010</t>
  </si>
  <si>
    <t xml:space="preserve">Compliance Update</t>
  </si>
  <si>
    <t xml:space="preserve">Jack Anderson</t>
  </si>
  <si>
    <t xml:space="preserve">2025-09-30</t>
  </si>
  <si>
    <t xml:space="preserve">Count</t>
  </si>
  <si>
    <t xml:space="preserve">Total Budget</t>
  </si>
  <si>
    <t xml:space="preserve">Total Spent</t>
  </si>
  <si>
    <t xml:space="preserve">Complete</t>
  </si>
  <si>
    <t xml:space="preserve">Not Started</t>
  </si>
  <si>
    <t xml:space="preserve">On Hold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</si>
</sst>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50000</v>
      </c>
      <c r="E2" s="1" t="n">
        <v>35000</v>
      </c>
      <c r="F2" s="1" t="s">
        <v>12</v>
      </c>
      <c r="G2" s="1" t="s">
        <v>13</v>
      </c>
      <c r="H2" s="1" t="s">
        <v>14</v>
      </c>
      <c r="I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n">
        <v>80000</v>
      </c>
      <c r="E3" s="1" t="n">
        <v>72000</v>
      </c>
      <c r="F3" s="1" t="s">
        <v>12</v>
      </c>
      <c r="G3" s="1" t="s">
        <v>19</v>
      </c>
      <c r="H3" s="1" t="s">
        <v>20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n">
        <v>30000</v>
      </c>
      <c r="E4" s="1" t="n">
        <v>30000</v>
      </c>
      <c r="F4" s="1" t="s">
        <v>25</v>
      </c>
      <c r="G4" s="1" t="s">
        <v>26</v>
      </c>
      <c r="H4" s="1" t="s">
        <v>27</v>
      </c>
      <c r="I4" s="1" t="s">
        <v>28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s">
        <v>31</v>
      </c>
      <c r="D5" s="1" t="n">
        <v>45000</v>
      </c>
      <c r="E5" s="1" t="n">
        <v>20000</v>
      </c>
      <c r="F5" s="1" t="s">
        <v>12</v>
      </c>
      <c r="G5" s="1" t="s">
        <v>13</v>
      </c>
      <c r="H5" s="1" t="s">
        <v>32</v>
      </c>
      <c r="I5" s="1" t="s">
        <v>33</v>
      </c>
    </row>
    <row r="6" customFormat="false" ht="15" hidden="false" customHeight="false" outlineLevel="0" collapsed="false">
      <c r="A6" s="1" t="s">
        <v>34</v>
      </c>
      <c r="B6" s="1" t="s">
        <v>35</v>
      </c>
      <c r="C6" s="1" t="s">
        <v>36</v>
      </c>
      <c r="D6" s="1" t="n">
        <v>25000</v>
      </c>
      <c r="E6" s="1" t="n">
        <v>18000</v>
      </c>
      <c r="F6" s="1" t="s">
        <v>12</v>
      </c>
      <c r="G6" s="1" t="s">
        <v>19</v>
      </c>
      <c r="H6" s="1" t="s">
        <v>37</v>
      </c>
      <c r="I6" s="1" t="s">
        <v>38</v>
      </c>
    </row>
    <row r="7" customFormat="false" ht="15" hidden="false" customHeight="false" outlineLevel="0" collapsed="false">
      <c r="A7" s="1" t="s">
        <v>39</v>
      </c>
      <c r="B7" s="1" t="s">
        <v>40</v>
      </c>
      <c r="C7" s="1" t="s">
        <v>41</v>
      </c>
      <c r="D7" s="1" t="n">
        <v>35000</v>
      </c>
      <c r="E7" s="1" t="n">
        <v>10000</v>
      </c>
      <c r="F7" s="1" t="s">
        <v>42</v>
      </c>
      <c r="G7" s="1" t="s">
        <v>26</v>
      </c>
      <c r="H7" s="1" t="s">
        <v>43</v>
      </c>
      <c r="I7" s="1" t="s">
        <v>44</v>
      </c>
    </row>
    <row r="8" customFormat="false" ht="15" hidden="false" customHeight="false" outlineLevel="0" collapsed="false">
      <c r="A8" s="1" t="s">
        <v>45</v>
      </c>
      <c r="B8" s="1" t="s">
        <v>46</v>
      </c>
      <c r="C8" s="1" t="s">
        <v>47</v>
      </c>
      <c r="D8" s="1" t="n">
        <v>60000</v>
      </c>
      <c r="E8" s="1" t="n">
        <v>55000</v>
      </c>
      <c r="F8" s="1" t="s">
        <v>12</v>
      </c>
      <c r="G8" s="1" t="s">
        <v>13</v>
      </c>
      <c r="H8" s="1" t="s">
        <v>48</v>
      </c>
      <c r="I8" s="1" t="s">
        <v>49</v>
      </c>
    </row>
    <row r="9" customFormat="false" ht="15" hidden="false" customHeight="false" outlineLevel="0" collapsed="false">
      <c r="A9" s="1" t="s">
        <v>50</v>
      </c>
      <c r="B9" s="1" t="s">
        <v>51</v>
      </c>
      <c r="C9" s="1" t="s">
        <v>52</v>
      </c>
      <c r="D9" s="1" t="n">
        <v>120000</v>
      </c>
      <c r="E9" s="1" t="n">
        <v>45000</v>
      </c>
      <c r="F9" s="1" t="s">
        <v>12</v>
      </c>
      <c r="G9" s="1" t="s">
        <v>19</v>
      </c>
      <c r="H9" s="1" t="s">
        <v>53</v>
      </c>
      <c r="I9" s="1" t="s">
        <v>54</v>
      </c>
    </row>
    <row r="10" customFormat="false" ht="15" hidden="false" customHeight="false" outlineLevel="0" collapsed="false">
      <c r="A10" s="1" t="s">
        <v>55</v>
      </c>
      <c r="B10" s="1" t="s">
        <v>56</v>
      </c>
      <c r="C10" s="1" t="s">
        <v>57</v>
      </c>
      <c r="D10" s="1" t="n">
        <v>20000</v>
      </c>
      <c r="E10" s="1" t="n">
        <v>20000</v>
      </c>
      <c r="F10" s="1" t="s">
        <v>25</v>
      </c>
      <c r="G10" s="1" t="s">
        <v>58</v>
      </c>
      <c r="H10" s="1" t="s">
        <v>59</v>
      </c>
      <c r="I10" s="1" t="s">
        <v>60</v>
      </c>
    </row>
    <row r="11" customFormat="false" ht="15" hidden="false" customHeight="false" outlineLevel="0" collapsed="false">
      <c r="A11" s="1" t="s">
        <v>61</v>
      </c>
      <c r="B11" s="1" t="s">
        <v>62</v>
      </c>
      <c r="C11" s="1" t="s">
        <v>63</v>
      </c>
      <c r="D11" s="1" t="n">
        <v>15000</v>
      </c>
      <c r="E11" s="1" t="n">
        <v>8000</v>
      </c>
      <c r="F11" s="1" t="s">
        <v>12</v>
      </c>
      <c r="G11" s="1" t="s">
        <v>26</v>
      </c>
      <c r="H11" s="1" t="s">
        <v>60</v>
      </c>
      <c r="I11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1" t="s">
        <v>5</v>
      </c>
      <c r="B1" s="1" t="s">
        <v>65</v>
      </c>
      <c r="C1" s="1" t="s">
        <v>66</v>
      </c>
      <c r="D1" s="1" t="s">
        <v>67</v>
      </c>
    </row>
    <row r="2" customFormat="false" ht="13.8" hidden="false" customHeight="false" outlineLevel="0" collapsed="false">
      <c r="A2" s="1" t="s">
        <v>68</v>
      </c>
      <c r="B2" s="1" t="n">
        <f aca="false">COUNTIF(Projects!A:A,"Complete")</f>
        <v>0</v>
      </c>
      <c r="C2" s="2" t="e">
        <f aca="false">sumr=SUMIF(projects A:A, A2, projects D:D)oject(projects A:A, A2, projects D:D)</f>
        <v>#VALUE!</v>
      </c>
      <c r="D2" s="2" t="e">
        <f aca="false">SUMIF(projects A:A, A2, projects E:E)</f>
        <v>#VALUE!</v>
      </c>
    </row>
    <row r="3" customFormat="false" ht="13.8" hidden="false" customHeight="false" outlineLevel="0" collapsed="false">
      <c r="A3" s="1" t="s">
        <v>12</v>
      </c>
      <c r="B3" s="1" t="n">
        <f aca="false">COUNTIF(Projects!A:A,"In Progress")</f>
        <v>0</v>
      </c>
      <c r="C3" s="1" t="e">
        <f aca="false">SUMIF(projects A:A, A2, projects D:D)</f>
        <v>#VALUE!</v>
      </c>
      <c r="D3" s="1" t="n">
        <f aca="false">SUMIF(Projects!A:A,"In Progress",Projects!D:D)</f>
        <v>0</v>
      </c>
    </row>
    <row r="4" customFormat="false" ht="13.8" hidden="false" customHeight="false" outlineLevel="0" collapsed="false">
      <c r="A4" s="1" t="s">
        <v>69</v>
      </c>
      <c r="B4" s="1" t="n">
        <f aca="false">COUNTIF(Projects!A:A,"Not Started")</f>
        <v>0</v>
      </c>
      <c r="C4" s="1" t="e">
        <f aca="false">SUMIF(projects A:A, A2, projects D:D)</f>
        <v>#VALUE!</v>
      </c>
      <c r="D4" s="1" t="n">
        <f aca="false">SUMIF(Projects!A:A,"On Hold",Projects!D:D)</f>
        <v>0</v>
      </c>
    </row>
    <row r="5" customFormat="false" ht="13.8" hidden="false" customHeight="false" outlineLevel="0" collapsed="false">
      <c r="A5" s="1" t="s">
        <v>70</v>
      </c>
      <c r="B5" s="1" t="n">
        <f aca="false">COUNTIF(Projects!A:A,"On Hold")</f>
        <v>0</v>
      </c>
      <c r="C5" s="1" t="e">
        <f aca="false">SUMIF(projects A:A, A2, projects D:D)</f>
        <v>#VALUE!</v>
      </c>
      <c r="D5" s="1" t="n">
        <f aca="false">SUMIF(Projects!B:B,"Complete",Projects!F:F)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1" t="s">
        <v>5</v>
      </c>
      <c r="B1" s="1" t="s">
        <v>65</v>
      </c>
      <c r="C1" s="1" t="s">
        <v>66</v>
      </c>
      <c r="D1" s="1" t="s">
        <v>67</v>
      </c>
    </row>
    <row r="2" customFormat="false" ht="12.8" hidden="false" customHeight="false" outlineLevel="0" collapsed="false">
      <c r="A2" s="1" t="s">
        <v>25</v>
      </c>
      <c r="B2" s="1" t="n">
        <v>2</v>
      </c>
      <c r="C2" s="1" t="n">
        <v>50000</v>
      </c>
      <c r="D2" s="1" t="n">
        <v>50000</v>
      </c>
    </row>
    <row r="3" customFormat="false" ht="12.8" hidden="false" customHeight="false" outlineLevel="0" collapsed="false">
      <c r="A3" s="1" t="s">
        <v>12</v>
      </c>
      <c r="B3" s="1" t="n">
        <v>7</v>
      </c>
      <c r="C3" s="1" t="n">
        <v>395000</v>
      </c>
      <c r="D3" s="1" t="n">
        <v>253000</v>
      </c>
    </row>
    <row r="4" customFormat="false" ht="12.8" hidden="false" customHeight="false" outlineLevel="0" collapsed="false">
      <c r="A4" s="1" t="s">
        <v>42</v>
      </c>
      <c r="B4" s="1" t="n">
        <v>1</v>
      </c>
      <c r="C4" s="1" t="n">
        <v>35000</v>
      </c>
      <c r="D4" s="1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2026-04-27T01:53:51Z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