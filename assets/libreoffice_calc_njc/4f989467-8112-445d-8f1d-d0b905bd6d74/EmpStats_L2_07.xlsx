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s" sheetId="1" state="visible" r:id="rId2"/>
    <sheet name="Employe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<sst xmlns="http://schemas.openxmlformats.org/spreadsheetml/2006/main" count="74" uniqueCount="62">
  <si>
    <t xml:space="preserve">Metric</t>
  </si>
  <si>
    <t xml:space="preserve">Value</t>
  </si>
  <si>
    <t xml:space="preserve">Count</t>
  </si>
  <si>
    <t xml:space="preserve">Average</t>
  </si>
  <si>
    <t xml:space="preserve">Min</t>
  </si>
  <si>
    <t xml:space="preserve">Max</t>
  </si>
  <si>
    <t xml:space="preserve">Total</t>
  </si>
  <si>
    <t xml:space="preserve">ID</t>
  </si>
  <si>
    <t xml:space="preserve">Name</t>
  </si>
  <si>
    <t xml:space="preserve">Department</t>
  </si>
  <si>
    <t xml:space="preserve">Title</t>
  </si>
  <si>
    <t xml:space="preserve">Salary</t>
  </si>
  <si>
    <t xml:space="preserve">Start Date</t>
  </si>
  <si>
    <t xml:space="preserve">Performance</t>
  </si>
  <si>
    <t xml:space="preserve">Alice Johnson</t>
  </si>
  <si>
    <t xml:space="preserve">Engineering</t>
  </si>
  <si>
    <t xml:space="preserve">Senior Engineer</t>
  </si>
  <si>
    <t xml:space="preserve">2019-03-15</t>
  </si>
  <si>
    <t xml:space="preserve">Bob Smith</t>
  </si>
  <si>
    <t xml:space="preserve">Marketing</t>
  </si>
  <si>
    <t xml:space="preserve">Manager</t>
  </si>
  <si>
    <t xml:space="preserve">2020-01-10</t>
  </si>
  <si>
    <t xml:space="preserve">Carol Davis</t>
  </si>
  <si>
    <t xml:space="preserve">Lead Engineer</t>
  </si>
  <si>
    <t xml:space="preserve">2018-06-01</t>
  </si>
  <si>
    <t xml:space="preserve">David Wilson</t>
  </si>
  <si>
    <t xml:space="preserve">Sales</t>
  </si>
  <si>
    <t xml:space="preserve">Sales Rep</t>
  </si>
  <si>
    <t xml:space="preserve">2021-09-20</t>
  </si>
  <si>
    <t xml:space="preserve">Eva Martinez</t>
  </si>
  <si>
    <t xml:space="preserve">Junior Engineer</t>
  </si>
  <si>
    <t xml:space="preserve">2022-02-14</t>
  </si>
  <si>
    <t xml:space="preserve">Frank Brown</t>
  </si>
  <si>
    <t xml:space="preserve">Analyst</t>
  </si>
  <si>
    <t xml:space="preserve">2021-04-05</t>
  </si>
  <si>
    <t xml:space="preserve">Grace Lee</t>
  </si>
  <si>
    <t xml:space="preserve">Sales Manager</t>
  </si>
  <si>
    <t xml:space="preserve">2019-11-30</t>
  </si>
  <si>
    <t xml:space="preserve">Henry Taylor</t>
  </si>
  <si>
    <t xml:space="preserve">HR</t>
  </si>
  <si>
    <t xml:space="preserve">HR Specialist</t>
  </si>
  <si>
    <t xml:space="preserve">2020-07-22</t>
  </si>
  <si>
    <t xml:space="preserve">Iris Chen</t>
  </si>
  <si>
    <t xml:space="preserve">Staff Engineer</t>
  </si>
  <si>
    <t xml:space="preserve">2017-01-08</t>
  </si>
  <si>
    <t xml:space="preserve">Jack Anderson</t>
  </si>
  <si>
    <t xml:space="preserve">Director</t>
  </si>
  <si>
    <t xml:space="preserve">2018-03-25</t>
  </si>
  <si>
    <t xml:space="preserve">Karen White</t>
  </si>
  <si>
    <t xml:space="preserve">2022-06-12</t>
  </si>
  <si>
    <t xml:space="preserve">Leo Harris</t>
  </si>
  <si>
    <t xml:space="preserve">HR Manager</t>
  </si>
  <si>
    <t xml:space="preserve">2019-08-18</t>
  </si>
  <si>
    <t xml:space="preserve">Mia Robinson</t>
  </si>
  <si>
    <t xml:space="preserve">Engineer</t>
  </si>
  <si>
    <t xml:space="preserve">2020-11-02</t>
  </si>
  <si>
    <t xml:space="preserve">Noah Clark</t>
  </si>
  <si>
    <t xml:space="preserve">Account Exec</t>
  </si>
  <si>
    <t xml:space="preserve">2021-01-15</t>
  </si>
  <si>
    <t xml:space="preserve">Olivia Lewis</t>
  </si>
  <si>
    <t xml:space="preserve">Content Lead</t>
  </si>
  <si>
    <t xml:space="preserve">2020-05-30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</si>
</sst>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1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f aca="false">COUNTA(Employees!A2:A16)</f>
        <v>15</v>
      </c>
    </row>
    <row r="3" customFormat="false" ht="13.8" hidden="false" customHeight="false" outlineLevel="0" collapsed="false">
      <c r="A3" s="1" t="s">
        <v>3</v>
      </c>
      <c r="B3" s="1" t="n">
        <f aca="false">ROUND(AVERAGE(Employees!E2:E16), 2)</f>
        <v>84933.33</v>
      </c>
    </row>
    <row r="4" customFormat="false" ht="13.8" hidden="false" customHeight="false" outlineLevel="0" collapsed="false">
      <c r="A4" s="1" t="s">
        <v>4</v>
      </c>
      <c r="B4" s="1" t="n">
        <f aca="false">MIN(Employees!E2:E16)</f>
        <v>62000</v>
      </c>
    </row>
    <row r="5" customFormat="false" ht="13.8" hidden="false" customHeight="false" outlineLevel="0" collapsed="false">
      <c r="A5" s="1" t="s">
        <v>5</v>
      </c>
      <c r="B5" s="1" t="n">
        <f aca="false">MAX(Employees!E2:E16)</f>
        <v>125000</v>
      </c>
    </row>
    <row r="6" customFormat="false" ht="13.8" hidden="false" customHeight="false" outlineLevel="0" collapsed="false">
      <c r="A6" s="1" t="s">
        <v>6</v>
      </c>
      <c r="B6" s="1" t="n">
        <f aca="false">SUM(Employees!E2:E16)</f>
        <v>1274000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customFormat="false" ht="15" hidden="false" customHeight="false" outlineLevel="0" collapsed="false">
      <c r="A2" s="1" t="n">
        <v>1001</v>
      </c>
      <c r="B2" s="1" t="s">
        <v>14</v>
      </c>
      <c r="C2" s="1" t="s">
        <v>15</v>
      </c>
      <c r="D2" s="1" t="s">
        <v>16</v>
      </c>
      <c r="E2" s="1" t="n">
        <v>95000</v>
      </c>
      <c r="F2" s="1" t="s">
        <v>17</v>
      </c>
      <c r="G2" s="1" t="n">
        <v>4.5</v>
      </c>
    </row>
    <row r="3" customFormat="false" ht="15" hidden="false" customHeight="false" outlineLevel="0" collapsed="false">
      <c r="A3" s="1" t="n">
        <v>1002</v>
      </c>
      <c r="B3" s="1" t="s">
        <v>18</v>
      </c>
      <c r="C3" s="1" t="s">
        <v>19</v>
      </c>
      <c r="D3" s="1" t="s">
        <v>20</v>
      </c>
      <c r="E3" s="1" t="n">
        <v>85000</v>
      </c>
      <c r="F3" s="1" t="s">
        <v>21</v>
      </c>
      <c r="G3" s="1" t="n">
        <v>3.8</v>
      </c>
    </row>
    <row r="4" customFormat="false" ht="15" hidden="false" customHeight="false" outlineLevel="0" collapsed="false">
      <c r="A4" s="1" t="n">
        <v>1003</v>
      </c>
      <c r="B4" s="1" t="s">
        <v>22</v>
      </c>
      <c r="C4" s="1" t="s">
        <v>15</v>
      </c>
      <c r="D4" s="1" t="s">
        <v>23</v>
      </c>
      <c r="E4" s="1" t="n">
        <v>110000</v>
      </c>
      <c r="F4" s="1" t="s">
        <v>24</v>
      </c>
      <c r="G4" s="1" t="n">
        <v>4.8</v>
      </c>
    </row>
    <row r="5" customFormat="false" ht="15" hidden="false" customHeight="false" outlineLevel="0" collapsed="false">
      <c r="A5" s="1" t="n">
        <v>1004</v>
      </c>
      <c r="B5" s="1" t="s">
        <v>25</v>
      </c>
      <c r="C5" s="1" t="s">
        <v>26</v>
      </c>
      <c r="D5" s="1" t="s">
        <v>27</v>
      </c>
      <c r="E5" s="1" t="n">
        <v>65000</v>
      </c>
      <c r="F5" s="1" t="s">
        <v>28</v>
      </c>
      <c r="G5" s="1" t="n">
        <v>3.2</v>
      </c>
    </row>
    <row r="6" customFormat="false" ht="15" hidden="false" customHeight="false" outlineLevel="0" collapsed="false">
      <c r="A6" s="1" t="n">
        <v>1005</v>
      </c>
      <c r="B6" s="1" t="s">
        <v>29</v>
      </c>
      <c r="C6" s="1" t="s">
        <v>15</v>
      </c>
      <c r="D6" s="1" t="s">
        <v>30</v>
      </c>
      <c r="E6" s="1" t="n">
        <v>72000</v>
      </c>
      <c r="F6" s="1" t="s">
        <v>31</v>
      </c>
      <c r="G6" s="1" t="n">
        <v>4</v>
      </c>
    </row>
    <row r="7" customFormat="false" ht="15" hidden="false" customHeight="false" outlineLevel="0" collapsed="false">
      <c r="A7" s="1" t="n">
        <v>1006</v>
      </c>
      <c r="B7" s="1" t="s">
        <v>32</v>
      </c>
      <c r="C7" s="1" t="s">
        <v>19</v>
      </c>
      <c r="D7" s="1" t="s">
        <v>33</v>
      </c>
      <c r="E7" s="1" t="n">
        <v>68000</v>
      </c>
      <c r="F7" s="1" t="s">
        <v>34</v>
      </c>
      <c r="G7" s="1" t="n">
        <v>3.5</v>
      </c>
    </row>
    <row r="8" customFormat="false" ht="15" hidden="false" customHeight="false" outlineLevel="0" collapsed="false">
      <c r="A8" s="1" t="n">
        <v>1007</v>
      </c>
      <c r="B8" s="1" t="s">
        <v>35</v>
      </c>
      <c r="C8" s="1" t="s">
        <v>26</v>
      </c>
      <c r="D8" s="1" t="s">
        <v>36</v>
      </c>
      <c r="E8" s="1" t="n">
        <v>90000</v>
      </c>
      <c r="F8" s="1" t="s">
        <v>37</v>
      </c>
      <c r="G8" s="1" t="n">
        <v>4.2</v>
      </c>
    </row>
    <row r="9" customFormat="false" ht="15" hidden="false" customHeight="false" outlineLevel="0" collapsed="false">
      <c r="A9" s="1" t="n">
        <v>1008</v>
      </c>
      <c r="B9" s="1" t="s">
        <v>38</v>
      </c>
      <c r="C9" s="1" t="s">
        <v>39</v>
      </c>
      <c r="D9" s="1" t="s">
        <v>40</v>
      </c>
      <c r="E9" s="1" t="n">
        <v>62000</v>
      </c>
      <c r="F9" s="1" t="s">
        <v>41</v>
      </c>
      <c r="G9" s="1" t="n">
        <v>3.9</v>
      </c>
    </row>
    <row r="10" customFormat="false" ht="15" hidden="false" customHeight="false" outlineLevel="0" collapsed="false">
      <c r="A10" s="1" t="n">
        <v>1009</v>
      </c>
      <c r="B10" s="1" t="s">
        <v>42</v>
      </c>
      <c r="C10" s="1" t="s">
        <v>15</v>
      </c>
      <c r="D10" s="1" t="s">
        <v>43</v>
      </c>
      <c r="E10" s="1" t="n">
        <v>125000</v>
      </c>
      <c r="F10" s="1" t="s">
        <v>44</v>
      </c>
      <c r="G10" s="1" t="n">
        <v>4.9</v>
      </c>
    </row>
    <row r="11" customFormat="false" ht="15" hidden="false" customHeight="false" outlineLevel="0" collapsed="false">
      <c r="A11" s="1" t="n">
        <v>1010</v>
      </c>
      <c r="B11" s="1" t="s">
        <v>45</v>
      </c>
      <c r="C11" s="1" t="s">
        <v>19</v>
      </c>
      <c r="D11" s="1" t="s">
        <v>46</v>
      </c>
      <c r="E11" s="1" t="n">
        <v>115000</v>
      </c>
      <c r="F11" s="1" t="s">
        <v>47</v>
      </c>
      <c r="G11" s="1" t="n">
        <v>4.1</v>
      </c>
    </row>
    <row r="12" customFormat="false" ht="15" hidden="false" customHeight="false" outlineLevel="0" collapsed="false">
      <c r="A12" s="1" t="n">
        <v>1011</v>
      </c>
      <c r="B12" s="1" t="s">
        <v>48</v>
      </c>
      <c r="C12" s="1" t="s">
        <v>26</v>
      </c>
      <c r="D12" s="1" t="s">
        <v>27</v>
      </c>
      <c r="E12" s="1" t="n">
        <v>63000</v>
      </c>
      <c r="F12" s="1" t="s">
        <v>49</v>
      </c>
      <c r="G12" s="1" t="n">
        <v>3</v>
      </c>
    </row>
    <row r="13" customFormat="false" ht="15" hidden="false" customHeight="false" outlineLevel="0" collapsed="false">
      <c r="A13" s="1" t="n">
        <v>1012</v>
      </c>
      <c r="B13" s="1" t="s">
        <v>50</v>
      </c>
      <c r="C13" s="1" t="s">
        <v>39</v>
      </c>
      <c r="D13" s="1" t="s">
        <v>51</v>
      </c>
      <c r="E13" s="1" t="n">
        <v>88000</v>
      </c>
      <c r="F13" s="1" t="s">
        <v>52</v>
      </c>
      <c r="G13" s="1" t="n">
        <v>4.3</v>
      </c>
    </row>
    <row r="14" customFormat="false" ht="15" hidden="false" customHeight="false" outlineLevel="0" collapsed="false">
      <c r="A14" s="1" t="n">
        <v>1013</v>
      </c>
      <c r="B14" s="1" t="s">
        <v>53</v>
      </c>
      <c r="C14" s="1" t="s">
        <v>15</v>
      </c>
      <c r="D14" s="1" t="s">
        <v>54</v>
      </c>
      <c r="E14" s="1" t="n">
        <v>82000</v>
      </c>
      <c r="F14" s="1" t="s">
        <v>55</v>
      </c>
      <c r="G14" s="1" t="n">
        <v>3.7</v>
      </c>
    </row>
    <row r="15" customFormat="false" ht="15" hidden="false" customHeight="false" outlineLevel="0" collapsed="false">
      <c r="A15" s="1" t="n">
        <v>1014</v>
      </c>
      <c r="B15" s="1" t="s">
        <v>56</v>
      </c>
      <c r="C15" s="1" t="s">
        <v>26</v>
      </c>
      <c r="D15" s="1" t="s">
        <v>57</v>
      </c>
      <c r="E15" s="1" t="n">
        <v>78000</v>
      </c>
      <c r="F15" s="1" t="s">
        <v>58</v>
      </c>
      <c r="G15" s="1" t="n">
        <v>4</v>
      </c>
    </row>
    <row r="16" customFormat="false" ht="15" hidden="false" customHeight="false" outlineLevel="0" collapsed="false">
      <c r="A16" s="1" t="n">
        <v>1015</v>
      </c>
      <c r="B16" s="1" t="s">
        <v>59</v>
      </c>
      <c r="C16" s="1" t="s">
        <v>19</v>
      </c>
      <c r="D16" s="1" t="s">
        <v>60</v>
      </c>
      <c r="E16" s="1" t="n">
        <v>76000</v>
      </c>
      <c r="F16" s="1" t="s">
        <v>61</v>
      </c>
      <c r="G16" s="1" t="n">
        <v>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2026-04-19T06:19:24Z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