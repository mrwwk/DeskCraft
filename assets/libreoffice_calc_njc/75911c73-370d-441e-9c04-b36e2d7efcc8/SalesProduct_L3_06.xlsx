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" sheetId="1" state="visible" r:id="rId2"/>
    <sheet name="ProductSummary" sheetId="2" state="visible" r:id="rId3"/>
    <sheet name="MonthlyTrend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<sst xmlns="http://schemas.openxmlformats.org/spreadsheetml/2006/main" count="64" uniqueCount="27">
  <si>
    <t xml:space="preserve">Month</t>
  </si>
  <si>
    <t xml:space="preserve">Region</t>
  </si>
  <si>
    <t xml:space="preserve">Product</t>
  </si>
  <si>
    <t xml:space="preserve">Units</t>
  </si>
  <si>
    <t xml:space="preserve">Price</t>
  </si>
  <si>
    <t xml:space="preserve">Revenue</t>
  </si>
  <si>
    <t xml:space="preserve">Cost</t>
  </si>
  <si>
    <t xml:space="preserve">Profit</t>
  </si>
  <si>
    <t xml:space="preserve">Margin %</t>
  </si>
  <si>
    <t xml:space="preserve">Jan</t>
  </si>
  <si>
    <t xml:space="preserve">North</t>
  </si>
  <si>
    <t xml:space="preserve">Widget A</t>
  </si>
  <si>
    <t xml:space="preserve">South</t>
  </si>
  <si>
    <t xml:space="preserve">Widget B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</si>
  <si>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</si>
  <si>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</si>
  <si>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</si>
  <si>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</si>
  <si>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</si>
  <si>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Total Units</t>
  </si>
  <si>
    <t xml:space="preserve">Total Revenue</t>
  </si>
  <si>
    <t xml:space="preserve">Total Profit</t>
  </si>
  <si>
    <t xml:space="preserve">Avg Price</t>
  </si>
  <si>
    <t xml:space="preserve">25.00</t>
  </si>
  <si>
    <t xml:space="preserve">30.00</t>
  </si>
  <si>
    <t xml:space="preserve">Widget A Units</t>
  </si>
  <si>
    <t xml:space="preserve">Widget B Units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</si>
</sst>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sheetData>
    <row r="1" s="2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MJ1" s="2" t="n">
        <v>33.3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n">
        <v>120</v>
      </c>
      <c r="E2" s="1" t="n">
        <v>25</v>
      </c>
      <c r="F2" s="1" t="n">
        <v>3000</v>
      </c>
      <c r="G2" s="1" t="n">
        <v>1800</v>
      </c>
      <c r="H2" s="1" t="n">
        <f aca="false">F2-G2</f>
        <v>1200</v>
      </c>
      <c r="I2" s="1" t="n">
        <f aca="false">H2/F2*100</f>
        <v>40</v>
      </c>
      <c r="AMJ2" s="1" t="n">
        <v>40</v>
      </c>
    </row>
    <row r="3" customFormat="false" ht="13.8" hidden="false" customHeight="false" outlineLevel="0" collapsed="false">
      <c r="A3" s="1" t="s">
        <v>9</v>
      </c>
      <c r="B3" s="1" t="s">
        <v>12</v>
      </c>
      <c r="C3" s="1" t="s">
        <v>13</v>
      </c>
      <c r="D3" s="1" t="n">
        <v>85</v>
      </c>
      <c r="E3" s="1" t="n">
        <v>30</v>
      </c>
      <c r="F3" s="1" t="n">
        <v>2550</v>
      </c>
      <c r="G3" s="1" t="n">
        <v>1700</v>
      </c>
      <c r="H3" s="1" t="n">
        <f aca="false">F3-G3</f>
        <v>850</v>
      </c>
      <c r="I3" s="3" t="n">
        <f aca="false">H3/F3*100</f>
        <v>33.3333333333333</v>
      </c>
      <c r="AMJ3" s="1" t="n">
        <v>33.3</v>
      </c>
    </row>
    <row r="4" customFormat="false" ht="13.8" hidden="false" customHeight="false" outlineLevel="0" collapsed="false">
      <c r="A4" s="1" t="s">
        <v>14</v>
      </c>
      <c r="B4" s="1" t="s">
        <v>10</v>
      </c>
      <c r="C4" s="1" t="s">
        <v>11</v>
      </c>
      <c r="D4" s="1" t="n">
        <v>150</v>
      </c>
      <c r="E4" s="1" t="n">
        <v>25</v>
      </c>
      <c r="F4" s="1" t="n">
        <v>3750</v>
      </c>
      <c r="G4" s="1" t="n">
        <v>2250</v>
      </c>
      <c r="H4" s="1" t="n">
        <f aca="false">F4-G4</f>
        <v>1500</v>
      </c>
      <c r="I4" s="3" t="n">
        <f aca="false">H4/F4*100</f>
        <v>40</v>
      </c>
      <c r="AMJ4" s="1" t="n">
        <v>40</v>
      </c>
    </row>
    <row r="5" customFormat="false" ht="13.8" hidden="false" customHeight="false" outlineLevel="0" collapsed="false">
      <c r="A5" s="1" t="s">
        <v>14</v>
      </c>
      <c r="B5" s="1" t="s">
        <v>12</v>
      </c>
      <c r="C5" s="1" t="s">
        <v>13</v>
      </c>
      <c r="D5" s="1" t="n">
        <v>95</v>
      </c>
      <c r="E5" s="1" t="n">
        <v>30</v>
      </c>
      <c r="F5" s="1" t="n">
        <v>2850</v>
      </c>
      <c r="G5" s="1" t="n">
        <v>1900</v>
      </c>
      <c r="H5" s="1" t="n">
        <f aca="false">F5-G5</f>
        <v>950</v>
      </c>
      <c r="I5" s="3" t="n">
        <f aca="false">H5/F5*100</f>
        <v>33.3333333333333</v>
      </c>
      <c r="AMJ5" s="1" t="n">
        <v>33.3</v>
      </c>
    </row>
    <row r="6" customFormat="false" ht="13.8" hidden="false" customHeight="false" outlineLevel="0" collapsed="false">
      <c r="A6" s="1" t="s">
        <v>15</v>
      </c>
      <c r="B6" s="1" t="s">
        <v>10</v>
      </c>
      <c r="C6" s="1" t="s">
        <v>11</v>
      </c>
      <c r="D6" s="1" t="n">
        <v>200</v>
      </c>
      <c r="E6" s="1" t="n">
        <v>25</v>
      </c>
      <c r="F6" s="1" t="n">
        <v>5000</v>
      </c>
      <c r="G6" s="1" t="n">
        <v>3000</v>
      </c>
      <c r="H6" s="1" t="n">
        <f aca="false">F6-G6</f>
        <v>2000</v>
      </c>
      <c r="I6" s="3" t="n">
        <f aca="false">H6/F6*100</f>
        <v>40</v>
      </c>
      <c r="AMJ6" s="1" t="n">
        <v>40</v>
      </c>
    </row>
    <row r="7" customFormat="false" ht="13.8" hidden="false" customHeight="false" outlineLevel="0" collapsed="false">
      <c r="A7" s="1" t="s">
        <v>15</v>
      </c>
      <c r="B7" s="1" t="s">
        <v>12</v>
      </c>
      <c r="C7" s="1" t="s">
        <v>13</v>
      </c>
      <c r="D7" s="1" t="n">
        <v>110</v>
      </c>
      <c r="E7" s="1" t="n">
        <v>30</v>
      </c>
      <c r="F7" s="1" t="n">
        <v>3300</v>
      </c>
      <c r="G7" s="1" t="n">
        <v>2200</v>
      </c>
      <c r="H7" s="1" t="n">
        <f aca="false">F7-G7</f>
        <v>1100</v>
      </c>
      <c r="I7" s="3" t="n">
        <f aca="false">H7/F7*100</f>
        <v>33.3333333333333</v>
      </c>
      <c r="AMJ7" s="1" t="n">
        <v>33.3</v>
      </c>
    </row>
    <row r="8" customFormat="false" ht="13.8" hidden="false" customHeight="false" outlineLevel="0" collapsed="false">
      <c r="A8" s="1" t="s">
        <v>16</v>
      </c>
      <c r="B8" s="1" t="s">
        <v>10</v>
      </c>
      <c r="C8" s="1" t="s">
        <v>11</v>
      </c>
      <c r="D8" s="1" t="n">
        <v>180</v>
      </c>
      <c r="E8" s="1" t="n">
        <v>25</v>
      </c>
      <c r="F8" s="1" t="n">
        <v>4500</v>
      </c>
      <c r="G8" s="1" t="n">
        <v>2700</v>
      </c>
      <c r="H8" s="1" t="n">
        <f aca="false">F8-G8</f>
        <v>1800</v>
      </c>
      <c r="I8" s="3" t="n">
        <f aca="false">H8/F8*100</f>
        <v>40</v>
      </c>
      <c r="AMJ8" s="1" t="n">
        <v>40</v>
      </c>
    </row>
    <row r="9" customFormat="false" ht="13.8" hidden="false" customHeight="false" outlineLevel="0" collapsed="false">
      <c r="A9" s="1" t="s">
        <v>16</v>
      </c>
      <c r="B9" s="1" t="s">
        <v>12</v>
      </c>
      <c r="C9" s="1" t="s">
        <v>13</v>
      </c>
      <c r="D9" s="1" t="n">
        <v>130</v>
      </c>
      <c r="E9" s="1" t="n">
        <v>30</v>
      </c>
      <c r="F9" s="1" t="n">
        <v>3900</v>
      </c>
      <c r="G9" s="1" t="n">
        <v>2600</v>
      </c>
      <c r="H9" s="1" t="n">
        <f aca="false">F9-G9</f>
        <v>1300</v>
      </c>
      <c r="I9" s="3" t="n">
        <f aca="false">H9/F9*100</f>
        <v>33.3333333333333</v>
      </c>
      <c r="AMJ9" s="1" t="n">
        <v>33.3</v>
      </c>
    </row>
    <row r="10" customFormat="false" ht="13.8" hidden="false" customHeight="false" outlineLevel="0" collapsed="false">
      <c r="A10" s="1" t="s">
        <v>17</v>
      </c>
      <c r="B10" s="1" t="s">
        <v>10</v>
      </c>
      <c r="C10" s="1" t="s">
        <v>11</v>
      </c>
      <c r="D10" s="1" t="n">
        <v>160</v>
      </c>
      <c r="E10" s="1" t="n">
        <v>25</v>
      </c>
      <c r="F10" s="1" t="n">
        <v>4000</v>
      </c>
      <c r="G10" s="1" t="n">
        <v>2400</v>
      </c>
      <c r="H10" s="1" t="n">
        <f aca="false">F10-G10</f>
        <v>1600</v>
      </c>
      <c r="I10" s="3" t="n">
        <f aca="false">H10/F10*100</f>
        <v>40</v>
      </c>
      <c r="AMJ10" s="1" t="n">
        <v>40</v>
      </c>
    </row>
    <row r="11" customFormat="false" ht="13.8" hidden="false" customHeight="false" outlineLevel="0" collapsed="false">
      <c r="A11" s="1" t="s">
        <v>17</v>
      </c>
      <c r="B11" s="1" t="s">
        <v>12</v>
      </c>
      <c r="C11" s="1" t="s">
        <v>13</v>
      </c>
      <c r="D11" s="1" t="n">
        <v>100</v>
      </c>
      <c r="E11" s="1" t="n">
        <v>30</v>
      </c>
      <c r="F11" s="1" t="n">
        <v>3000</v>
      </c>
      <c r="G11" s="1" t="n">
        <v>2000</v>
      </c>
      <c r="H11" s="1" t="n">
        <f aca="false">F11-G11</f>
        <v>1000</v>
      </c>
      <c r="I11" s="3" t="n">
        <f aca="false">H11/F11*100</f>
        <v>33.3333333333333</v>
      </c>
      <c r="AMJ11" s="1" t="n">
        <v>33.3</v>
      </c>
    </row>
    <row r="12" customFormat="false" ht="13.8" hidden="false" customHeight="false" outlineLevel="0" collapsed="false">
      <c r="A12" s="1" t="s">
        <v>18</v>
      </c>
      <c r="B12" s="1" t="s">
        <v>10</v>
      </c>
      <c r="C12" s="1" t="s">
        <v>11</v>
      </c>
      <c r="D12" s="1" t="n">
        <v>210</v>
      </c>
      <c r="E12" s="1" t="n">
        <v>25</v>
      </c>
      <c r="F12" s="1" t="n">
        <v>5250</v>
      </c>
      <c r="G12" s="1" t="n">
        <v>3150</v>
      </c>
      <c r="H12" s="1" t="n">
        <f aca="false">F12-G12</f>
        <v>2100</v>
      </c>
      <c r="I12" s="3" t="n">
        <f aca="false">H12/F12*100</f>
        <v>40</v>
      </c>
    </row>
    <row r="13" customFormat="false" ht="13.8" hidden="false" customHeight="false" outlineLevel="0" collapsed="false">
      <c r="A13" s="1" t="s">
        <v>18</v>
      </c>
      <c r="B13" s="1" t="s">
        <v>12</v>
      </c>
      <c r="C13" s="1" t="s">
        <v>13</v>
      </c>
      <c r="D13" s="1" t="n">
        <v>140</v>
      </c>
      <c r="E13" s="1" t="n">
        <v>30</v>
      </c>
      <c r="F13" s="1" t="n">
        <v>4200</v>
      </c>
      <c r="G13" s="1" t="n">
        <v>2800</v>
      </c>
      <c r="H13" s="1" t="n">
        <f aca="false">F13-G13</f>
        <v>1400</v>
      </c>
      <c r="I13" s="3" t="n">
        <f aca="false">H13/F13*100</f>
        <v>33.3333333333333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640625" defaultRowHeight="12.8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19</v>
      </c>
      <c r="C1" s="1" t="s">
        <v>20</v>
      </c>
      <c r="D1" s="1" t="s">
        <v>21</v>
      </c>
      <c r="E1" s="1" t="s">
        <v>22</v>
      </c>
    </row>
    <row r="2" customFormat="false" ht="12.8" hidden="false" customHeight="false" outlineLevel="0" collapsed="false">
      <c r="A2" s="1" t="s">
        <v>11</v>
      </c>
      <c r="B2" s="1" t="n">
        <v>1020</v>
      </c>
      <c r="C2" s="1" t="n">
        <v>25500</v>
      </c>
      <c r="D2" s="1" t="n">
        <v>10200</v>
      </c>
      <c r="E2" s="1" t="s">
        <v>23</v>
      </c>
    </row>
    <row r="3" customFormat="false" ht="12.8" hidden="false" customHeight="false" outlineLevel="0" collapsed="false">
      <c r="A3" s="1" t="s">
        <v>13</v>
      </c>
      <c r="B3" s="1" t="n">
        <v>660</v>
      </c>
      <c r="C3" s="1" t="n">
        <v>19800</v>
      </c>
      <c r="D3" s="1" t="n">
        <v>6600</v>
      </c>
      <c r="E3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9.1640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25</v>
      </c>
      <c r="C1" s="1" t="s">
        <v>26</v>
      </c>
      <c r="D1" s="1" t="s">
        <v>19</v>
      </c>
    </row>
    <row r="2" customFormat="false" ht="12.8" hidden="false" customHeight="false" outlineLevel="0" collapsed="false">
      <c r="A2" s="1" t="s">
        <v>9</v>
      </c>
      <c r="B2" s="1" t="n">
        <v>120</v>
      </c>
      <c r="C2" s="1" t="n">
        <v>85</v>
      </c>
      <c r="D2" s="1" t="n">
        <v>205</v>
      </c>
    </row>
    <row r="3" customFormat="false" ht="12.8" hidden="false" customHeight="false" outlineLevel="0" collapsed="false">
      <c r="A3" s="1" t="s">
        <v>14</v>
      </c>
      <c r="B3" s="1" t="n">
        <v>150</v>
      </c>
      <c r="C3" s="1" t="n">
        <v>95</v>
      </c>
      <c r="D3" s="1" t="n">
        <v>245</v>
      </c>
    </row>
    <row r="4" customFormat="false" ht="12.8" hidden="false" customHeight="false" outlineLevel="0" collapsed="false">
      <c r="A4" s="1" t="s">
        <v>15</v>
      </c>
      <c r="B4" s="1" t="n">
        <v>200</v>
      </c>
      <c r="C4" s="1" t="n">
        <v>110</v>
      </c>
      <c r="D4" s="1" t="n">
        <v>310</v>
      </c>
    </row>
    <row r="5" customFormat="false" ht="12.8" hidden="false" customHeight="false" outlineLevel="0" collapsed="false">
      <c r="A5" s="1" t="s">
        <v>16</v>
      </c>
      <c r="B5" s="1" t="n">
        <v>180</v>
      </c>
      <c r="C5" s="1" t="n">
        <v>130</v>
      </c>
      <c r="D5" s="1" t="n">
        <v>310</v>
      </c>
    </row>
    <row r="6" customFormat="false" ht="12.8" hidden="false" customHeight="false" outlineLevel="0" collapsed="false">
      <c r="A6" s="1" t="s">
        <v>17</v>
      </c>
      <c r="B6" s="1" t="n">
        <v>160</v>
      </c>
      <c r="C6" s="1" t="n">
        <v>100</v>
      </c>
      <c r="D6" s="1" t="n">
        <v>260</v>
      </c>
    </row>
    <row r="7" customFormat="false" ht="12.8" hidden="false" customHeight="false" outlineLevel="0" collapsed="false">
      <c r="A7" s="1" t="s">
        <v>18</v>
      </c>
      <c r="B7" s="1" t="n">
        <v>210</v>
      </c>
      <c r="C7" s="1" t="n">
        <v>140</v>
      </c>
      <c r="D7" s="1" t="n">
        <v>350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2026-04-19T06:23:03Z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