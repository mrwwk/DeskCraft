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2"/>
    <sheet name="PrioritySummary" sheetId="2" state="visible" r:id="rId3"/>
    <sheet name="AtRisk" sheetId="3" state="visible" r:id="rId4"/>
    <sheet name="Sheet3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<sst xmlns="http://schemas.openxmlformats.org/spreadsheetml/2006/main" count="87" uniqueCount="54">
  <si>
    <t xml:space="preserve">P-002</t>
  </si>
  <si>
    <t xml:space="preserve">Mobile App v2</t>
  </si>
  <si>
    <t xml:space="preserve">Bob Smith</t>
  </si>
  <si>
    <t xml:space="preserve">In Progress</t>
  </si>
  <si>
    <t xml:space="preserve">Critical</t>
  </si>
  <si>
    <t xml:space="preserve">Rem=D2-E2aining</t>
  </si>
  <si>
    <t xml:space="preserve">P-005</t>
  </si>
  <si>
    <t xml:space="preserve">Security Audit</t>
  </si>
  <si>
    <t xml:space="preserve">Eva Martinez</t>
  </si>
  <si>
    <t xml:space="preserve">P-008</t>
  </si>
  <si>
    <t xml:space="preserve">Cloud Migration</t>
  </si>
  <si>
    <t xml:space="preserve">Henry Taylor</t>
  </si>
  <si>
    <t xml:space="preserve">P-007</t>
  </si>
  <si>
    <t xml:space="preserve">API Gateway</t>
  </si>
  <si>
    <t xml:space="preserve">Grace Lee</t>
  </si>
  <si>
    <t xml:space="preserve">High</t>
  </si>
  <si>
    <t xml:space="preserve">P-001</t>
  </si>
  <si>
    <t xml:space="preserve">Website Redesign</t>
  </si>
  <si>
    <t xml:space="preserve">Alice Johnson</t>
  </si>
  <si>
    <t xml:space="preserve">P-004</t>
  </si>
  <si>
    <t xml:space="preserve">CRM Integration</t>
  </si>
  <si>
    <t xml:space="preserve">David Wilson</t>
  </si>
  <si>
    <t xml:space="preserve">P-009</t>
  </si>
  <si>
    <t xml:space="preserve">Training Portal</t>
  </si>
  <si>
    <t xml:space="preserve">Iris Chen</t>
  </si>
  <si>
    <t xml:space="preserve">Completed</t>
  </si>
  <si>
    <t xml:space="preserve">Low</t>
  </si>
  <si>
    <t xml:space="preserve">P-003</t>
  </si>
  <si>
    <t xml:space="preserve">Data Migration</t>
  </si>
  <si>
    <t xml:space="preserve">Carol Davis</t>
  </si>
  <si>
    <t xml:space="preserve">Medium</t>
  </si>
  <si>
    <t xml:space="preserve">P-006</t>
  </si>
  <si>
    <t xml:space="preserve">Analytics Dashboard</t>
  </si>
  <si>
    <t xml:space="preserve">Frank Brown</t>
  </si>
  <si>
    <t xml:space="preserve">Planning</t>
  </si>
  <si>
    <t xml:space="preserve">P-010</t>
  </si>
  <si>
    <t xml:space="preserve">Compliance Update</t>
  </si>
  <si>
    <t xml:space="preserve">Jack Anderson</t>
  </si>
  <si>
    <t xml:space="preserve">Project ID</t>
  </si>
  <si>
    <t xml:space="preserve">Project Name</t>
  </si>
  <si>
    <t xml:space="preserve">Team Lead</t>
  </si>
  <si>
    <t xml:space="preserve">Budget</t>
  </si>
  <si>
    <t xml:space="preserve">Spent</t>
  </si>
  <si>
    <t xml:space="preserve">Status</t>
  </si>
  <si>
    <t xml:space="preserve">Priority</t>
  </si>
  <si>
    <t xml:space="preserve">Start Date</t>
  </si>
  <si>
    <t xml:space="preserve">End Date</t>
  </si>
  <si>
    <t xml:space="preserve">% Spent</t>
  </si>
  <si>
    <t xml:space="preserve">Count</t>
  </si>
  <si>
    <t xml:space="preserve">Total Budget</t>
  </si>
  <si>
    <t xml:space="preserve">Total Spent</t>
  </si>
  <si>
    <t xml:space="preserve">Avg % Spent</t>
  </si>
  <si>
    <t xml:space="preserve">Remaining</t>
  </si>
  <si>
    <t xml:space="preserve">Mobile App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</si>
</sst>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n">
        <v>80000</v>
      </c>
      <c r="E1" s="1" t="n">
        <v>72000</v>
      </c>
      <c r="F1" s="1" t="s">
        <v>3</v>
      </c>
      <c r="G1" s="1" t="s">
        <v>4</v>
      </c>
      <c r="H1" s="2" t="n">
        <v>45616</v>
      </c>
      <c r="I1" s="2" t="n">
        <v>45792</v>
      </c>
      <c r="J1" s="1" t="s">
        <v>5</v>
      </c>
      <c r="K1" s="3" t="n">
        <f aca="false">E1/D1*100</f>
        <v>90</v>
      </c>
      <c r="L1" s="1" t="e">
        <f aca="false">i=IF(K2&lt;=100,"Yes","Noo")</f>
        <v>#NAME?</v>
      </c>
    </row>
    <row r="2" customFormat="false" ht="13.8" hidden="false" customHeight="false" outlineLevel="0" collapsed="false">
      <c r="A2" s="4" t="s">
        <v>6</v>
      </c>
      <c r="B2" s="4" t="s">
        <v>7</v>
      </c>
      <c r="C2" s="4" t="s">
        <v>8</v>
      </c>
      <c r="D2" s="4" t="n">
        <v>25000</v>
      </c>
      <c r="E2" s="4" t="n">
        <v>18000</v>
      </c>
      <c r="F2" s="4" t="s">
        <v>3</v>
      </c>
      <c r="G2" s="4" t="s">
        <v>4</v>
      </c>
      <c r="H2" s="5" t="n">
        <v>45748</v>
      </c>
      <c r="I2" s="5" t="n">
        <v>45853</v>
      </c>
      <c r="J2" s="4" t="n">
        <f aca="false">D3-E3</f>
        <v>75000</v>
      </c>
      <c r="K2" s="6" t="n">
        <f aca="false">E2/D2*100</f>
        <v>72</v>
      </c>
      <c r="L2" s="4" t="e">
        <f aca="false">ifk2rek2&lt;=100,"Yes","No")</f>
        <v>#VALUE!</v>
      </c>
    </row>
    <row r="3" customFormat="false" ht="13.8" hidden="false" customHeight="false" outlineLevel="0" collapsed="false">
      <c r="A3" s="4" t="s">
        <v>9</v>
      </c>
      <c r="B3" s="4" t="s">
        <v>10</v>
      </c>
      <c r="C3" s="4" t="s">
        <v>11</v>
      </c>
      <c r="D3" s="4" t="n">
        <v>120000</v>
      </c>
      <c r="E3" s="4" t="n">
        <v>45000</v>
      </c>
      <c r="F3" s="4" t="s">
        <v>3</v>
      </c>
      <c r="G3" s="4" t="s">
        <v>4</v>
      </c>
      <c r="H3" s="5" t="n">
        <v>45667</v>
      </c>
      <c r="I3" s="5" t="n">
        <v>46022</v>
      </c>
      <c r="J3" s="4" t="n">
        <f aca="false">D4-E4</f>
        <v>5000</v>
      </c>
      <c r="K3" s="6" t="n">
        <f aca="false">E3/D3*100</f>
        <v>37.5</v>
      </c>
    </row>
    <row r="4" customFormat="false" ht="13.8" hidden="false" customHeight="false" outlineLevel="0" collapsed="false">
      <c r="A4" s="4" t="s">
        <v>12</v>
      </c>
      <c r="B4" s="4" t="s">
        <v>13</v>
      </c>
      <c r="C4" s="4" t="s">
        <v>14</v>
      </c>
      <c r="D4" s="4" t="n">
        <v>60000</v>
      </c>
      <c r="E4" s="4" t="n">
        <v>55000</v>
      </c>
      <c r="F4" s="4" t="s">
        <v>3</v>
      </c>
      <c r="G4" s="4" t="s">
        <v>15</v>
      </c>
      <c r="H4" s="5" t="n">
        <v>45627</v>
      </c>
      <c r="I4" s="5" t="n">
        <v>45823</v>
      </c>
      <c r="J4" s="4" t="n">
        <f aca="false">D5-E5</f>
        <v>15000</v>
      </c>
      <c r="K4" s="6" t="n">
        <f aca="false">E4/D4*100</f>
        <v>91.6666666666667</v>
      </c>
    </row>
    <row r="5" customFormat="false" ht="13.8" hidden="false" customHeight="false" outlineLevel="0" collapsed="false">
      <c r="A5" s="4" t="s">
        <v>16</v>
      </c>
      <c r="B5" s="4" t="s">
        <v>17</v>
      </c>
      <c r="C5" s="4" t="s">
        <v>18</v>
      </c>
      <c r="D5" s="4" t="n">
        <v>50000</v>
      </c>
      <c r="E5" s="4" t="n">
        <v>35000</v>
      </c>
      <c r="F5" s="4" t="s">
        <v>3</v>
      </c>
      <c r="G5" s="4" t="s">
        <v>15</v>
      </c>
      <c r="H5" s="5" t="n">
        <v>45672</v>
      </c>
      <c r="I5" s="5" t="n">
        <v>45838</v>
      </c>
      <c r="J5" s="4" t="n">
        <f aca="false">D6-E6</f>
        <v>25000</v>
      </c>
      <c r="K5" s="6" t="n">
        <f aca="false">E5/D5*100</f>
        <v>70</v>
      </c>
    </row>
    <row r="6" customFormat="false" ht="13.8" hidden="false" customHeight="false" outlineLevel="0" collapsed="false">
      <c r="A6" s="4" t="s">
        <v>19</v>
      </c>
      <c r="B6" s="4" t="s">
        <v>20</v>
      </c>
      <c r="C6" s="4" t="s">
        <v>21</v>
      </c>
      <c r="D6" s="4" t="n">
        <v>45000</v>
      </c>
      <c r="E6" s="4" t="n">
        <v>20000</v>
      </c>
      <c r="F6" s="4" t="s">
        <v>3</v>
      </c>
      <c r="G6" s="4" t="s">
        <v>15</v>
      </c>
      <c r="H6" s="5" t="n">
        <v>45726</v>
      </c>
      <c r="I6" s="5" t="n">
        <v>45900</v>
      </c>
      <c r="J6" s="4" t="n">
        <f aca="false">D7-E7</f>
        <v>0</v>
      </c>
      <c r="K6" s="6" t="n">
        <f aca="false">E6/D6*100</f>
        <v>44.4444444444444</v>
      </c>
    </row>
    <row r="7" customFormat="false" ht="13.8" hidden="false" customHeight="false" outlineLevel="0" collapsed="false">
      <c r="A7" s="4" t="s">
        <v>22</v>
      </c>
      <c r="B7" s="4" t="s">
        <v>23</v>
      </c>
      <c r="C7" s="4" t="s">
        <v>24</v>
      </c>
      <c r="D7" s="4" t="n">
        <v>20000</v>
      </c>
      <c r="E7" s="4" t="n">
        <v>20000</v>
      </c>
      <c r="F7" s="4" t="s">
        <v>25</v>
      </c>
      <c r="G7" s="4" t="s">
        <v>26</v>
      </c>
      <c r="H7" s="5" t="n">
        <v>45703</v>
      </c>
      <c r="I7" s="5" t="n">
        <v>45778</v>
      </c>
      <c r="J7" s="4" t="n">
        <f aca="false">D8-E8</f>
        <v>0</v>
      </c>
      <c r="K7" s="6" t="n">
        <f aca="false">E7/D7*100</f>
        <v>100</v>
      </c>
    </row>
    <row r="8" customFormat="false" ht="13.8" hidden="false" customHeight="false" outlineLevel="0" collapsed="false">
      <c r="A8" s="4" t="s">
        <v>27</v>
      </c>
      <c r="B8" s="4" t="s">
        <v>28</v>
      </c>
      <c r="C8" s="4" t="s">
        <v>29</v>
      </c>
      <c r="D8" s="4" t="n">
        <v>30000</v>
      </c>
      <c r="E8" s="4" t="n">
        <v>30000</v>
      </c>
      <c r="F8" s="4" t="s">
        <v>25</v>
      </c>
      <c r="G8" s="4" t="s">
        <v>30</v>
      </c>
      <c r="H8" s="5" t="n">
        <v>45689</v>
      </c>
      <c r="I8" s="5" t="n">
        <v>45777</v>
      </c>
      <c r="J8" s="4" t="n">
        <f aca="false">D9-E9</f>
        <v>25000</v>
      </c>
      <c r="K8" s="6" t="n">
        <f aca="false">E8/D8*100</f>
        <v>100</v>
      </c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35000</v>
      </c>
      <c r="E9" s="4" t="n">
        <v>10000</v>
      </c>
      <c r="F9" s="4" t="s">
        <v>34</v>
      </c>
      <c r="G9" s="4" t="s">
        <v>30</v>
      </c>
      <c r="H9" s="5" t="n">
        <v>45809</v>
      </c>
      <c r="I9" s="5" t="n">
        <v>45961</v>
      </c>
      <c r="J9" s="4" t="n">
        <f aca="false">D10-E10</f>
        <v>7000</v>
      </c>
      <c r="K9" s="6" t="n">
        <f aca="false">E10/D10*100</f>
        <v>53.3333333333333</v>
      </c>
      <c r="L9" s="4" t="str">
        <f aca="false">IF(K10&lt;=100,"Yes","No")</f>
        <v>Yes</v>
      </c>
    </row>
    <row r="10" customFormat="false" ht="13.8" hidden="false" customHeight="false" outlineLevel="0" collapsed="false">
      <c r="A10" s="4" t="s">
        <v>35</v>
      </c>
      <c r="B10" s="4" t="s">
        <v>36</v>
      </c>
      <c r="C10" s="4" t="s">
        <v>37</v>
      </c>
      <c r="D10" s="4" t="n">
        <v>15000</v>
      </c>
      <c r="E10" s="4" t="n">
        <v>8000</v>
      </c>
      <c r="F10" s="4" t="s">
        <v>3</v>
      </c>
      <c r="G10" s="4" t="s">
        <v>30</v>
      </c>
      <c r="H10" s="5" t="n">
        <v>45778</v>
      </c>
      <c r="I10" s="5" t="n">
        <v>45930</v>
      </c>
      <c r="J10" s="4" t="e">
        <f aca="false">D11-E11</f>
        <v>#VALUE!</v>
      </c>
      <c r="K10" s="6" t="n">
        <f aca="false">E10/D10*100</f>
        <v>53.3333333333333</v>
      </c>
    </row>
    <row r="11" s="1" customFormat="true" ht="13.8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46</v>
      </c>
      <c r="J11" s="1" t="n">
        <f aca="false">D12-E12</f>
        <v>0</v>
      </c>
      <c r="K11" s="1" t="s">
        <v>47</v>
      </c>
      <c r="L11" s="4" t="str">
        <f aca="false">IF(K4&lt;=100,"Yes","No")</f>
        <v>Yes</v>
      </c>
    </row>
    <row r="12" customFormat="false" ht="13.8" hidden="false" customHeight="false" outlineLevel="0" collapsed="false">
      <c r="L12" s="4" t="str">
        <f aca="false">IF(K5&lt;=100,"Yes","No")</f>
        <v>Yes</v>
      </c>
    </row>
    <row r="13" customFormat="false" ht="13.8" hidden="false" customHeight="false" outlineLevel="0" collapsed="false">
      <c r="L13" s="4" t="str">
        <f aca="false">IF(K6&lt;=100,"Yes","No")</f>
        <v>Yes</v>
      </c>
    </row>
    <row r="14" customFormat="false" ht="13.8" hidden="false" customHeight="false" outlineLevel="0" collapsed="false">
      <c r="L14" s="4" t="str">
        <f aca="false">IF(K7&lt;=100,"Yes","No")</f>
        <v>Yes</v>
      </c>
    </row>
    <row r="15" customFormat="false" ht="13.8" hidden="false" customHeight="false" outlineLevel="0" collapsed="false">
      <c r="L15" s="4" t="str">
        <f aca="false">IF(K8&lt;=100,"Yes","No")</f>
        <v>Yes</v>
      </c>
    </row>
    <row r="16" customFormat="false" ht="13.8" hidden="false" customHeight="false" outlineLevel="0" collapsed="false">
      <c r="L16" s="4" t="str">
        <f aca="false">IF(K9&lt;=100,"Yes","No")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4" t="s">
        <v>44</v>
      </c>
      <c r="B1" s="4" t="s">
        <v>48</v>
      </c>
      <c r="C1" s="4" t="s">
        <v>49</v>
      </c>
      <c r="D1" s="4" t="s">
        <v>50</v>
      </c>
      <c r="E1" s="4" t="s">
        <v>51</v>
      </c>
    </row>
    <row r="2" customFormat="false" ht="13.8" hidden="false" customHeight="false" outlineLevel="0" collapsed="false">
      <c r="A2" s="4" t="s">
        <v>4</v>
      </c>
      <c r="B2" s="4" t="n">
        <f aca="false">COUNTIF(Projects!G:G,"Critical")</f>
        <v>3</v>
      </c>
      <c r="C2" s="4" t="n">
        <f aca="false">SUMIF(Projects!G:G,"Critical",Projects!D:D)</f>
        <v>225000</v>
      </c>
      <c r="D2" s="4" t="n">
        <f aca="false">SUMIF(Projects!G:G,"Critical",Projects!E:E)</f>
        <v>135000</v>
      </c>
      <c r="E2" s="4" t="n">
        <f aca="false">AVERAGEIF(Projects!G:G,"Critical",Projects!K:K)</f>
        <v>66.5</v>
      </c>
    </row>
    <row r="3" customFormat="false" ht="13.8" hidden="false" customHeight="false" outlineLevel="0" collapsed="false">
      <c r="A3" s="4" t="s">
        <v>15</v>
      </c>
      <c r="B3" s="4" t="n">
        <f aca="false">COUNTIF(Projects!G:G,"Critical")</f>
        <v>3</v>
      </c>
      <c r="C3" s="4" t="n">
        <f aca="false">SUMIF(Projects!G:G,"Critical",Projects!D:D)</f>
        <v>225000</v>
      </c>
      <c r="D3" s="4" t="n">
        <f aca="false">SUMIF(Projects!G:G,"Critical",Projects!E:E)</f>
        <v>135000</v>
      </c>
      <c r="E3" s="4" t="n">
        <f aca="false">AVERAGEIF(Projects!G:G,"Critical",Projects!K:K)</f>
        <v>66.5</v>
      </c>
    </row>
    <row r="4" customFormat="false" ht="13.8" hidden="false" customHeight="false" outlineLevel="0" collapsed="false">
      <c r="A4" s="4" t="s">
        <v>30</v>
      </c>
      <c r="B4" s="4" t="n">
        <f aca="false">COUNTIF(Projects!G:G,"Critical")</f>
        <v>3</v>
      </c>
      <c r="C4" s="4" t="n">
        <f aca="false">SUMIF(Projects!G:G,"Critical",Projects!D:D)</f>
        <v>225000</v>
      </c>
      <c r="D4" s="4" t="n">
        <f aca="false">SUMIF(Projects!G:G,"Critical",Projects!E:E)</f>
        <v>135000</v>
      </c>
      <c r="E4" s="4" t="n">
        <f aca="false">AVERAGEIF(Projects!G:G,"Critical",Projects!K:K)</f>
        <v>66.5</v>
      </c>
    </row>
    <row r="5" customFormat="false" ht="13.8" hidden="false" customHeight="false" outlineLevel="0" collapsed="false">
      <c r="A5" s="4" t="s">
        <v>26</v>
      </c>
      <c r="B5" s="4" t="n">
        <f aca="false">COUNTIF(Projects!G:G,"Critical")</f>
        <v>3</v>
      </c>
      <c r="C5" s="4" t="n">
        <f aca="false">SUMIF(Projects!G:G,"Critical",Projects!D:D)</f>
        <v>225000</v>
      </c>
      <c r="D5" s="4" t="n">
        <f aca="false">SUMIF(Projects!G:G,"Critical",Projects!E:E)</f>
        <v>135000</v>
      </c>
      <c r="E5" s="4" t="n">
        <f aca="false">AVERAGEIF(Projects!G:G,"Critical",Projects!K:K)</f>
        <v>66.5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>
    <row r="1" s="4" customFormat="true" ht="13.8" hidden="false" customHeight="false" outlineLevel="0" collapsed="false">
      <c r="A1" s="4" t="s">
        <v>39</v>
      </c>
      <c r="B1" s="4" t="s">
        <v>40</v>
      </c>
      <c r="C1" s="4" t="s">
        <v>44</v>
      </c>
      <c r="D1" s="4" t="s">
        <v>47</v>
      </c>
      <c r="E1" s="4" t="s">
        <v>52</v>
      </c>
    </row>
    <row r="2" customFormat="false" ht="12.8" hidden="false" customHeight="false" outlineLevel="0" collapsed="false">
      <c r="A2" s="4" t="s">
        <v>53</v>
      </c>
      <c r="B2" s="4" t="s">
        <v>2</v>
      </c>
      <c r="C2" s="4" t="s">
        <v>4</v>
      </c>
      <c r="D2" s="4" t="n">
        <v>90</v>
      </c>
      <c r="E2" s="4" t="n">
        <v>8000</v>
      </c>
    </row>
    <row r="3" customFormat="false" ht="12.8" hidden="false" customHeight="false" outlineLevel="0" collapsed="false">
      <c r="A3" s="4" t="s">
        <v>13</v>
      </c>
      <c r="B3" s="4" t="s">
        <v>14</v>
      </c>
      <c r="C3" s="4" t="s">
        <v>15</v>
      </c>
      <c r="D3" s="4" t="n">
        <v>91.7</v>
      </c>
      <c r="E3" s="4" t="n">
        <v>5000</v>
      </c>
    </row>
    <row r="4" customFormat="false" ht="12.8" hidden="false" customHeight="false" outlineLevel="0" collapsed="false">
      <c r="A4" s="4" t="s">
        <v>28</v>
      </c>
      <c r="B4" s="4" t="s">
        <v>29</v>
      </c>
      <c r="C4" s="4" t="s">
        <v>30</v>
      </c>
      <c r="D4" s="4" t="n">
        <v>100</v>
      </c>
      <c r="E4" s="4" t="n">
        <v>0</v>
      </c>
    </row>
    <row r="5" customFormat="false" ht="12.8" hidden="false" customHeight="false" outlineLevel="0" collapsed="false">
      <c r="A5" s="4" t="s">
        <v>23</v>
      </c>
      <c r="B5" s="4" t="s">
        <v>24</v>
      </c>
      <c r="C5" s="4" t="s">
        <v>26</v>
      </c>
      <c r="D5" s="4" t="n">
        <v>100</v>
      </c>
      <c r="E5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2026-04-27T01:52:19Z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