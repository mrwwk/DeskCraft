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1-Q4" sheetId="1" state="visible" r:id="rId2"/>
    <sheet name="RevenueGrowth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<sst xmlns="http://schemas.openxmlformats.org/spreadsheetml/2006/main" count="29" uniqueCount="23">
  <si>
    <t xml:space="preserve">Department</t>
  </si>
  <si>
    <t xml:space="preserve">Q1 Revenue</t>
  </si>
  <si>
    <t xml:space="preserve">Q1 Cost</t>
  </si>
  <si>
    <t xml:space="preserve">Q2 Revenue</t>
  </si>
  <si>
    <t xml:space="preserve">Q2 Cost</t>
  </si>
  <si>
    <t xml:space="preserve">Q3 Revenue</t>
  </si>
  <si>
    <t xml:space="preserve">Q3 Cost</t>
  </si>
  <si>
    <t xml:space="preserve">Q4 Revenue</t>
  </si>
  <si>
    <t xml:space="preserve">Q4 Cost</t>
  </si>
  <si>
    <t xml:space="preserve">Annual RevenueAnnual CoAnnual Margin %PrRevenue Rankofitst</t>
  </si>
  <si>
    <t xml:space="preserve">Annual Cost</t>
  </si>
  <si>
    <t xml:space="preserve">Annual ProfitMargin %</t>
  </si>
  <si>
    <t xml:space="preserve">Revenue Rank</t>
  </si>
  <si>
    <t xml:space="preserve">Operations</t>
  </si>
  <si>
    <t xml:space="preserve">Sales</t>
  </si>
  <si>
    <t xml:space="preserve">Engineering</t>
  </si>
  <si>
    <t xml:space="preserve">Marketing</t>
  </si>
  <si>
    <t xml:space="preserve">Total</t>
  </si>
  <si>
    <t xml:space="preserve">Q1-Q2 %</t>
  </si>
  <si>
    <t xml:space="preserve">Q2-Q3 %</t>
  </si>
  <si>
    <t xml:space="preserve">Q3-Q4 %</t>
  </si>
  <si>
    <t xml:space="preserve">Full Year Growth %</t>
  </si>
  <si>
    <t xml:space="preserve">HR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</si>
</sst>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0.0%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" activeCellId="0" sqref="K:K"/>
    </sheetView>
  </sheetViews>
  <sheetFormatPr defaultColWidth="8.54296875" defaultRowHeight="13.8" zeroHeight="false" outlineLevelRow="0" outlineLevelCol="0"/>
  <cols>
    <col collapsed="false" customWidth="true" hidden="false" outlineLevel="0" max="10" min="10" style="0" width="13"/>
    <col collapsed="false" customWidth="true" hidden="false" outlineLevel="0" max="11" min="11" style="0" width="15.32"/>
    <col collapsed="false" customWidth="true" hidden="false" outlineLevel="0" max="14" min="13" style="0" width="13.34"/>
  </cols>
  <sheetData>
    <row r="1" s="1" customFormat="tru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N1" s="1" t="s">
        <v>12</v>
      </c>
      <c r="AMG1" s="0"/>
      <c r="AMH1" s="0"/>
      <c r="AMI1" s="0"/>
      <c r="AMJ1" s="0"/>
    </row>
    <row r="2" customFormat="false" ht="13.8" hidden="false" customHeight="false" outlineLevel="0" collapsed="false">
      <c r="A2" s="1" t="s">
        <v>13</v>
      </c>
      <c r="B2" s="1" t="n">
        <v>100000</v>
      </c>
      <c r="C2" s="1" t="n">
        <v>85000</v>
      </c>
      <c r="D2" s="1" t="n">
        <v>110000</v>
      </c>
      <c r="E2" s="1" t="n">
        <v>90000</v>
      </c>
      <c r="F2" s="1" t="n">
        <v>120000</v>
      </c>
      <c r="G2" s="1" t="n">
        <v>95000</v>
      </c>
      <c r="H2" s="1" t="n">
        <v>130000</v>
      </c>
      <c r="I2" s="1" t="n">
        <v>100000</v>
      </c>
      <c r="J2" s="1" t="n">
        <v>460000</v>
      </c>
      <c r="K2" s="1" t="n">
        <f aca="false">C2+E2+G2+IH32</f>
        <v>270000</v>
      </c>
      <c r="L2" s="1" t="n">
        <f aca="false">J2-K2</f>
        <v>190000</v>
      </c>
      <c r="M2" s="1" t="n">
        <f aca="false">L3/J3*100</f>
        <v>51.5789473684211</v>
      </c>
      <c r="N2" s="1"/>
    </row>
    <row r="3" customFormat="false" ht="13.8" hidden="false" customHeight="false" outlineLevel="0" collapsed="false">
      <c r="A3" s="1" t="s">
        <v>14</v>
      </c>
      <c r="B3" s="1" t="n">
        <v>200000</v>
      </c>
      <c r="C3" s="1" t="n">
        <v>100000</v>
      </c>
      <c r="D3" s="1" t="n">
        <v>220000</v>
      </c>
      <c r="E3" s="1" t="n">
        <v>110000</v>
      </c>
      <c r="F3" s="1" t="n">
        <v>250000</v>
      </c>
      <c r="G3" s="1" t="n">
        <v>120000</v>
      </c>
      <c r="H3" s="1" t="n">
        <v>280000</v>
      </c>
      <c r="I3" s="1" t="n">
        <v>130000</v>
      </c>
      <c r="J3" s="2" t="n">
        <f aca="false">B3+D3+F3+H3</f>
        <v>950000</v>
      </c>
      <c r="K3" s="2" t="n">
        <f aca="false">C3+E3+G3+I3</f>
        <v>460000</v>
      </c>
      <c r="L3" s="2" t="n">
        <f aca="false">J3-K3</f>
        <v>490000</v>
      </c>
      <c r="M3" s="2" t="n">
        <f aca="false">L3/J3*100</f>
        <v>51.5789473684211</v>
      </c>
      <c r="N3" s="2"/>
    </row>
    <row r="4" customFormat="false" ht="13.8" hidden="false" customHeight="false" outlineLevel="0" collapsed="false">
      <c r="A4" s="1" t="s">
        <v>15</v>
      </c>
      <c r="B4" s="1" t="n">
        <v>150000</v>
      </c>
      <c r="C4" s="1" t="n">
        <v>120000</v>
      </c>
      <c r="D4" s="1" t="n">
        <v>165000</v>
      </c>
      <c r="E4" s="1" t="n">
        <v>125000</v>
      </c>
      <c r="F4" s="1" t="n">
        <v>180000</v>
      </c>
      <c r="G4" s="1" t="n">
        <v>130000</v>
      </c>
      <c r="H4" s="1" t="n">
        <v>200000</v>
      </c>
      <c r="I4" s="1" t="n">
        <v>140000</v>
      </c>
      <c r="J4" s="1" t="n">
        <v>695000</v>
      </c>
      <c r="K4" s="1"/>
      <c r="L4" s="1"/>
      <c r="M4" s="1"/>
      <c r="N4" s="1"/>
    </row>
    <row r="5" customFormat="false" ht="13.8" hidden="false" customHeight="false" outlineLevel="0" collapsed="false">
      <c r="A5" s="1" t="s">
        <v>16</v>
      </c>
      <c r="B5" s="1" t="n">
        <v>80000</v>
      </c>
      <c r="C5" s="1" t="n">
        <v>60000</v>
      </c>
      <c r="D5" s="1" t="n">
        <v>90000</v>
      </c>
      <c r="E5" s="1" t="n">
        <v>65000</v>
      </c>
      <c r="F5" s="1" t="n">
        <v>95000</v>
      </c>
      <c r="G5" s="1" t="n">
        <v>70000</v>
      </c>
      <c r="H5" s="1" t="n">
        <v>110000</v>
      </c>
      <c r="I5" s="1" t="n">
        <v>75000</v>
      </c>
      <c r="J5" s="1" t="n">
        <v>375000</v>
      </c>
      <c r="K5" s="1"/>
      <c r="L5" s="1"/>
      <c r="M5" s="1"/>
      <c r="N5" s="1"/>
    </row>
    <row r="6" customFormat="false" ht="13.8" hidden="false" customHeight="false" outlineLevel="0" collapsed="false">
      <c r="A6" s="1" t="s">
        <v>17</v>
      </c>
      <c r="B6" s="1" t="n">
        <v>560000</v>
      </c>
      <c r="C6" s="1" t="n">
        <v>390000</v>
      </c>
      <c r="D6" s="1" t="n">
        <v>617000</v>
      </c>
      <c r="E6" s="1" t="n">
        <v>416000</v>
      </c>
      <c r="F6" s="1" t="n">
        <v>680000</v>
      </c>
      <c r="G6" s="1" t="n">
        <v>443000</v>
      </c>
      <c r="H6" s="1" t="n">
        <v>758000</v>
      </c>
      <c r="I6" s="1" t="n">
        <v>475000</v>
      </c>
      <c r="J6" s="1" t="e">
        <f aca="false">SUM(B6:E6)#REF!=J2-#REF!=J2-#REF!</f>
        <v>#VALUE!</v>
      </c>
      <c r="K6" s="1"/>
      <c r="L6" s="1"/>
      <c r="M6" s="1"/>
      <c r="N6" s="1"/>
    </row>
    <row r="7" s="1" customFormat="true" ht="13.8" hidden="false" customHeight="false" outlineLevel="0" collapsed="false">
      <c r="A7" s="3" t="s">
        <v>17</v>
      </c>
      <c r="B7" s="3" t="n">
        <f aca="false">SUM(B2:B6)</f>
        <v>1090000</v>
      </c>
      <c r="C7" s="3" t="n">
        <f aca="false">SUM(C2:C6)</f>
        <v>755000</v>
      </c>
      <c r="D7" s="3" t="n">
        <f aca="false">SUM(D2:D6)</f>
        <v>1202000</v>
      </c>
      <c r="E7" s="3" t="n">
        <f aca="false">SUM(E2:E6)</f>
        <v>806000</v>
      </c>
      <c r="F7" s="3" t="n">
        <f aca="false">SUM(F2:F6)</f>
        <v>1325000</v>
      </c>
      <c r="G7" s="3" t="n">
        <f aca="false">SUM(G2:G6)</f>
        <v>858000</v>
      </c>
      <c r="H7" s="3" t="n">
        <f aca="false">SUM(H2:H6)</f>
        <v>1478000</v>
      </c>
      <c r="I7" s="4" t="n">
        <f aca="false">SUM(I2:I6)</f>
        <v>920000</v>
      </c>
      <c r="J7" s="3" t="n">
        <f aca="false">SUM(B7:H7)</f>
        <v>7514000</v>
      </c>
      <c r="K7" s="3"/>
      <c r="L7" s="3"/>
      <c r="M7" s="3"/>
      <c r="N7" s="3"/>
      <c r="AMG7" s="0"/>
      <c r="AMH7" s="0"/>
      <c r="AMI7" s="0"/>
      <c r="AMJ7" s="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K:K A2"/>
    </sheetView>
  </sheetViews>
  <sheetFormatPr defaultColWidth="9.171875" defaultRowHeight="12.8" zeroHeight="false" outlineLevelRow="0" outlineLevelCol="0"/>
  <sheetData>
    <row r="1" s="1" customFormat="true" ht="13.8" hidden="false" customHeight="false" outlineLevel="0" collapsed="false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</row>
    <row r="2" customFormat="false" ht="12.8" hidden="false" customHeight="false" outlineLevel="0" collapsed="false">
      <c r="A2" s="1" t="s">
        <v>14</v>
      </c>
      <c r="B2" s="5" t="n">
        <v>0.1</v>
      </c>
      <c r="C2" s="5" t="n">
        <v>0.136</v>
      </c>
      <c r="D2" s="5" t="n">
        <v>0.12</v>
      </c>
      <c r="E2" s="5" t="n">
        <v>0.4</v>
      </c>
    </row>
    <row r="3" customFormat="false" ht="12.8" hidden="false" customHeight="false" outlineLevel="0" collapsed="false">
      <c r="A3" s="1" t="s">
        <v>15</v>
      </c>
      <c r="B3" s="5" t="n">
        <v>0.1</v>
      </c>
      <c r="C3" s="5" t="n">
        <v>0.091</v>
      </c>
      <c r="D3" s="5" t="n">
        <v>0.111</v>
      </c>
      <c r="E3" s="5" t="n">
        <v>0.333</v>
      </c>
    </row>
    <row r="4" customFormat="false" ht="12.8" hidden="false" customHeight="false" outlineLevel="0" collapsed="false">
      <c r="A4" s="1" t="s">
        <v>16</v>
      </c>
      <c r="B4" s="5" t="n">
        <v>0.125</v>
      </c>
      <c r="C4" s="5" t="n">
        <v>0.056</v>
      </c>
      <c r="D4" s="5" t="n">
        <v>0.158</v>
      </c>
      <c r="E4" s="5" t="n">
        <v>0.375</v>
      </c>
    </row>
    <row r="5" customFormat="false" ht="12.8" hidden="false" customHeight="false" outlineLevel="0" collapsed="false">
      <c r="A5" s="1" t="s">
        <v>13</v>
      </c>
      <c r="B5" s="5" t="n">
        <v>0.1</v>
      </c>
      <c r="C5" s="5" t="n">
        <v>0.091</v>
      </c>
      <c r="D5" s="5" t="n">
        <v>0.083</v>
      </c>
      <c r="E5" s="5" t="n">
        <v>0.3</v>
      </c>
    </row>
    <row r="6" customFormat="false" ht="12.8" hidden="false" customHeight="false" outlineLevel="0" collapsed="false">
      <c r="A6" s="1" t="s">
        <v>22</v>
      </c>
      <c r="B6" s="5" t="n">
        <v>0.067</v>
      </c>
      <c r="C6" s="5" t="n">
        <v>0.094</v>
      </c>
      <c r="D6" s="5" t="n">
        <v>0.086</v>
      </c>
      <c r="E6" s="5" t="n">
        <v>0.267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68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2026-03-26T08:57:04Z</dcterms:created>
  <dc:creator>openpyxl</dc:creator>
  <dc:description/>
  <dc:language>en-HK</dc:language>
  <cp:lastModifiedBy/>
  <dcterms:modified xsi:type="dcterms:W3CDTF">2026-04-27T01:37:14Z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