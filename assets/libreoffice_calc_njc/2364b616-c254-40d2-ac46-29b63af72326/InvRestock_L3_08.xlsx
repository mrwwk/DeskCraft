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2"/>
    <sheet name="SupplierOrders" sheetId="2" state="visible" r:id="rId3"/>
    <sheet name="CategoryBreakdow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<sst xmlns="http://schemas.openxmlformats.org/spreadsheetml/2006/main" count="85" uniqueCount="57">
  <si>
    <t xml:space="preserve">SKU</t>
  </si>
  <si>
    <t xml:space="preserve">Product Name</t>
  </si>
  <si>
    <t xml:space="preserve">Category</t>
  </si>
  <si>
    <t xml:space="preserve">Quantity</t>
  </si>
  <si>
    <t xml:space="preserve">Unit Cost</t>
  </si>
  <si>
    <t xml:space="preserve">Reorder Level</t>
  </si>
  <si>
    <t xml:space="preserve">Supplier</t>
  </si>
  <si>
    <t xml:space="preserve">Total Value</t>
  </si>
  <si>
    <t xml:space="preserve">Restock Qty</t>
  </si>
  <si>
    <t xml:space="preserve">Restock Cost</t>
  </si>
  <si>
    <t xml:space="preserve">SKU-009</t>
  </si>
  <si>
    <t xml:space="preserve">Cable HDMI 6ft</t>
  </si>
  <si>
    <t xml:space="preserve">Accessories</t>
  </si>
  <si>
    <t xml:space="preserve">CableCo</t>
  </si>
  <si>
    <t xml:space="preserve">SKU-013</t>
  </si>
  <si>
    <t xml:space="preserve">Charger 65W</t>
  </si>
  <si>
    <t xml:space="preserve">SKU-005</t>
  </si>
  <si>
    <t xml:space="preserve">Keyboard Mech</t>
  </si>
  <si>
    <t xml:space="preserve">PeriphCo</t>
  </si>
  <si>
    <t xml:space="preserve">SKU-012</t>
  </si>
  <si>
    <t xml:space="preserve">Mouse Pad XL</t>
  </si>
  <si>
    <t xml:space="preserve">SKU-003</t>
  </si>
  <si>
    <t xml:space="preserve">USB-C Hub</t>
  </si>
  <si>
    <t xml:space="preserve">SKU-002</t>
  </si>
  <si>
    <t xml:space="preserve">Wireless Mouse</t>
  </si>
  <si>
    <t xml:space="preserve">SKU-015</t>
  </si>
  <si>
    <t xml:space="preserve">Earbuds TWS</t>
  </si>
  <si>
    <t xml:space="preserve">Audio</t>
  </si>
  <si>
    <t xml:space="preserve">AudioMax</t>
  </si>
  <si>
    <t xml:space="preserve">SKU-007</t>
  </si>
  <si>
    <t xml:space="preserve">Headset Pro</t>
  </si>
  <si>
    <t xml:space="preserve">SKU-011</t>
  </si>
  <si>
    <t xml:space="preserve">Speaker BT</t>
  </si>
  <si>
    <t xml:space="preserve">SKU-001</t>
  </si>
  <si>
    <t xml:space="preserve">Laptop Pro 15</t>
  </si>
  <si>
    <t xml:space="preserve">Electronics</t>
  </si>
  <si>
    <t xml:space="preserve">TechCorp</t>
  </si>
  <si>
    <t xml:space="preserve">SKU-004</t>
  </si>
  <si>
    <t xml:space="preserve">Monitor 27in</t>
  </si>
  <si>
    <t xml:space="preserve">DisplayTech</t>
  </si>
  <si>
    <t xml:space="preserve">SKU-010</t>
  </si>
  <si>
    <t xml:space="preserve">Tablet 10in</t>
  </si>
  <si>
    <t xml:space="preserve">SKU-006</t>
  </si>
  <si>
    <t xml:space="preserve">Webcam HD</t>
  </si>
  <si>
    <t xml:space="preserve">SKU-008</t>
  </si>
  <si>
    <t xml:space="preserve">Desk Lamp LED</t>
  </si>
  <si>
    <t xml:space="preserve">Office</t>
  </si>
  <si>
    <t xml:space="preserve">OfficePlus</t>
  </si>
  <si>
    <t xml:space="preserve">SKU-014</t>
  </si>
  <si>
    <t xml:space="preserve">Desk Stand</t>
  </si>
  <si>
    <t xml:space="preserve">Items to Restock</t>
  </si>
  <si>
    <t xml:space="preserve">Total Restock Cost</t>
  </si>
  <si>
    <t xml:space="preserve">TechGlobal</t>
  </si>
  <si>
    <t xml:space="preserve">TechPro</t>
  </si>
  <si>
    <t xml:space="preserve">Items</t>
  </si>
  <si>
    <t xml:space="preserve">Total Qty</t>
  </si>
  <si>
    <t xml:space="preserve">Restock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</si>
</sst>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8" min="8" style="1" width="14"/>
    <col collapsed="false" customWidth="false" hidden="false" outlineLevel="0" max="10" min="9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300</v>
      </c>
      <c r="E2" s="2" t="n">
        <v>12.99</v>
      </c>
      <c r="F2" s="2" t="n">
        <v>100</v>
      </c>
      <c r="G2" s="2" t="s">
        <v>13</v>
      </c>
      <c r="H2" s="1" t="n">
        <f aca="false">ROUND(D2*E2,2)</f>
        <v>3897</v>
      </c>
      <c r="I2" s="1" t="n">
        <f aca="false">MAX(0,F2*2-D2)</f>
        <v>0</v>
      </c>
      <c r="J2" s="1" t="n">
        <f aca="false">ROUND(I2*E2,2)</f>
        <v>0</v>
      </c>
    </row>
    <row r="3" customFormat="false" ht="13.8" hidden="false" customHeight="false" outlineLevel="0" collapsed="false">
      <c r="A3" s="2" t="s">
        <v>14</v>
      </c>
      <c r="B3" s="2" t="s">
        <v>15</v>
      </c>
      <c r="C3" s="2" t="s">
        <v>12</v>
      </c>
      <c r="D3" s="2" t="n">
        <v>160</v>
      </c>
      <c r="E3" s="2" t="n">
        <v>29.99</v>
      </c>
      <c r="F3" s="2" t="n">
        <v>40</v>
      </c>
      <c r="G3" s="2" t="s">
        <v>13</v>
      </c>
      <c r="H3" s="1" t="n">
        <f aca="false">ROUND(D3*E3,2)</f>
        <v>4798.4</v>
      </c>
      <c r="I3" s="1" t="n">
        <f aca="false">MAX(0,F3*2-D3)</f>
        <v>0</v>
      </c>
      <c r="J3" s="1" t="n">
        <f aca="false">ROUND(I3*E3,2)</f>
        <v>0</v>
      </c>
    </row>
    <row r="4" customFormat="false" ht="13.8" hidden="false" customHeight="false" outlineLevel="0" collapsed="false">
      <c r="A4" s="2" t="s">
        <v>16</v>
      </c>
      <c r="B4" s="2" t="s">
        <v>17</v>
      </c>
      <c r="C4" s="2" t="s">
        <v>12</v>
      </c>
      <c r="D4" s="2" t="n">
        <v>180</v>
      </c>
      <c r="E4" s="2" t="n">
        <v>79.99</v>
      </c>
      <c r="F4" s="2" t="n">
        <v>40</v>
      </c>
      <c r="G4" s="2" t="s">
        <v>18</v>
      </c>
      <c r="H4" s="1" t="n">
        <f aca="false">ROUND(D4*E4,2)</f>
        <v>14398.2</v>
      </c>
      <c r="I4" s="1" t="n">
        <f aca="false">MAX(0,F4*2-D4)</f>
        <v>0</v>
      </c>
      <c r="J4" s="1" t="n">
        <f aca="false">ROUND(I4*E4,2)</f>
        <v>0</v>
      </c>
    </row>
    <row r="5" customFormat="false" ht="13.8" hidden="false" customHeight="false" outlineLevel="0" collapsed="false">
      <c r="A5" s="2" t="s">
        <v>19</v>
      </c>
      <c r="B5" s="2" t="s">
        <v>20</v>
      </c>
      <c r="C5" s="2" t="s">
        <v>12</v>
      </c>
      <c r="D5" s="2" t="n">
        <v>250</v>
      </c>
      <c r="E5" s="2" t="n">
        <v>14.99</v>
      </c>
      <c r="F5" s="2" t="n">
        <v>60</v>
      </c>
      <c r="G5" s="2" t="s">
        <v>18</v>
      </c>
      <c r="H5" s="1" t="n">
        <f aca="false">ROUND(D5*E5,2)</f>
        <v>3747.5</v>
      </c>
      <c r="I5" s="1" t="n">
        <f aca="false">MAX(0,F5*2-D5)</f>
        <v>0</v>
      </c>
      <c r="J5" s="1" t="n">
        <f aca="false">ROUND(I5*E5,2)</f>
        <v>0</v>
      </c>
    </row>
    <row r="6" customFormat="false" ht="13.8" hidden="false" customHeight="false" outlineLevel="0" collapsed="false">
      <c r="A6" s="2" t="s">
        <v>21</v>
      </c>
      <c r="B6" s="2" t="s">
        <v>22</v>
      </c>
      <c r="C6" s="2" t="s">
        <v>12</v>
      </c>
      <c r="D6" s="2" t="n">
        <v>150</v>
      </c>
      <c r="E6" s="2" t="n">
        <v>39.99</v>
      </c>
      <c r="F6" s="2" t="n">
        <v>30</v>
      </c>
      <c r="G6" s="2" t="s">
        <v>18</v>
      </c>
      <c r="H6" s="1" t="n">
        <f aca="false">ROUND(D6*E6,2)</f>
        <v>5998.5</v>
      </c>
      <c r="I6" s="1" t="n">
        <f aca="false">MAX(0,F6*2-D6)</f>
        <v>0</v>
      </c>
      <c r="J6" s="1" t="n">
        <f aca="false">ROUND(I6*E6,2)</f>
        <v>0</v>
      </c>
    </row>
    <row r="7" customFormat="false" ht="13.8" hidden="false" customHeight="false" outlineLevel="0" collapsed="false">
      <c r="A7" s="2" t="s">
        <v>23</v>
      </c>
      <c r="B7" s="2" t="s">
        <v>24</v>
      </c>
      <c r="C7" s="2" t="s">
        <v>12</v>
      </c>
      <c r="D7" s="2" t="n">
        <v>200</v>
      </c>
      <c r="E7" s="2" t="n">
        <v>24.99</v>
      </c>
      <c r="F7" s="2" t="n">
        <v>50</v>
      </c>
      <c r="G7" s="2" t="s">
        <v>18</v>
      </c>
      <c r="H7" s="1" t="n">
        <f aca="false">ROUND(D7*E7,2)</f>
        <v>4998</v>
      </c>
      <c r="I7" s="1" t="n">
        <f aca="false">MAX(0,F7*2-D7)</f>
        <v>0</v>
      </c>
      <c r="J7" s="1" t="n">
        <f aca="false">ROUND(I7*E7,2)</f>
        <v>0</v>
      </c>
    </row>
    <row r="8" customFormat="false" ht="13.8" hidden="false" customHeight="false" outlineLevel="0" collapsed="false">
      <c r="A8" s="2" t="s">
        <v>25</v>
      </c>
      <c r="B8" s="2" t="s">
        <v>26</v>
      </c>
      <c r="C8" s="2" t="s">
        <v>27</v>
      </c>
      <c r="D8" s="2" t="n">
        <v>100</v>
      </c>
      <c r="E8" s="2" t="n">
        <v>49.99</v>
      </c>
      <c r="F8" s="2" t="n">
        <v>30</v>
      </c>
      <c r="G8" s="2" t="s">
        <v>28</v>
      </c>
      <c r="H8" s="1" t="n">
        <f aca="false">ROUND(D8*E8,2)</f>
        <v>4999</v>
      </c>
      <c r="I8" s="1" t="n">
        <f aca="false">MAX(0,F8*2-D8)</f>
        <v>0</v>
      </c>
      <c r="J8" s="1" t="n">
        <f aca="false">ROUND(I8*E8,2)</f>
        <v>0</v>
      </c>
    </row>
    <row r="9" customFormat="false" ht="13.8" hidden="false" customHeight="false" outlineLevel="0" collapsed="false">
      <c r="A9" s="2" t="s">
        <v>29</v>
      </c>
      <c r="B9" s="2" t="s">
        <v>30</v>
      </c>
      <c r="C9" s="2" t="s">
        <v>27</v>
      </c>
      <c r="D9" s="2" t="n">
        <v>120</v>
      </c>
      <c r="E9" s="2" t="n">
        <v>149.99</v>
      </c>
      <c r="F9" s="2" t="n">
        <v>35</v>
      </c>
      <c r="G9" s="2" t="s">
        <v>28</v>
      </c>
      <c r="H9" s="1" t="n">
        <f aca="false">ROUND(D9*E9,2)</f>
        <v>17998.8</v>
      </c>
      <c r="I9" s="1" t="n">
        <f aca="false">MAX(0,F9*2-D9)</f>
        <v>0</v>
      </c>
      <c r="J9" s="1" t="n">
        <f aca="false">ROUND(I9*E9,2)</f>
        <v>0</v>
      </c>
    </row>
    <row r="10" customFormat="false" ht="13.8" hidden="false" customHeight="false" outlineLevel="0" collapsed="false">
      <c r="A10" s="2" t="s">
        <v>31</v>
      </c>
      <c r="B10" s="2" t="s">
        <v>32</v>
      </c>
      <c r="C10" s="2" t="s">
        <v>27</v>
      </c>
      <c r="D10" s="2" t="n">
        <v>60</v>
      </c>
      <c r="E10" s="2" t="n">
        <v>89.99</v>
      </c>
      <c r="F10" s="2" t="n">
        <v>20</v>
      </c>
      <c r="G10" s="2" t="s">
        <v>28</v>
      </c>
      <c r="H10" s="1" t="n">
        <f aca="false">ROUND(D10*E10,2)</f>
        <v>5399.4</v>
      </c>
      <c r="I10" s="1" t="n">
        <f aca="false">MAX(0,F10*2-D10)</f>
        <v>0</v>
      </c>
      <c r="J10" s="1" t="n">
        <f aca="false">ROUND(I10*E10,2)</f>
        <v>0</v>
      </c>
    </row>
    <row r="11" customFormat="false" ht="13.8" hidden="false" customHeight="false" outlineLevel="0" collapsed="false">
      <c r="A11" s="2" t="s">
        <v>33</v>
      </c>
      <c r="B11" s="2" t="s">
        <v>34</v>
      </c>
      <c r="C11" s="2" t="s">
        <v>35</v>
      </c>
      <c r="D11" s="2" t="n">
        <v>45</v>
      </c>
      <c r="E11" s="2" t="n">
        <v>899.99</v>
      </c>
      <c r="F11" s="2" t="n">
        <v>20</v>
      </c>
      <c r="G11" s="2" t="s">
        <v>36</v>
      </c>
      <c r="H11" s="1" t="n">
        <f aca="false">ROUND(D11*E11,2)</f>
        <v>40499.55</v>
      </c>
      <c r="I11" s="1" t="n">
        <f aca="false">MAX(0,F11*2-D11)</f>
        <v>0</v>
      </c>
      <c r="J11" s="1" t="n">
        <f aca="false">ROUND(I11*E11,2)</f>
        <v>0</v>
      </c>
    </row>
    <row r="12" customFormat="false" ht="13.8" hidden="false" customHeight="false" outlineLevel="0" collapsed="false">
      <c r="A12" s="2" t="s">
        <v>37</v>
      </c>
      <c r="B12" s="2" t="s">
        <v>38</v>
      </c>
      <c r="C12" s="2" t="s">
        <v>35</v>
      </c>
      <c r="D12" s="2" t="n">
        <v>30</v>
      </c>
      <c r="E12" s="2" t="n">
        <v>449.99</v>
      </c>
      <c r="F12" s="2" t="n">
        <v>15</v>
      </c>
      <c r="G12" s="2" t="s">
        <v>39</v>
      </c>
      <c r="H12" s="1" t="n">
        <f aca="false">ROUND(D12*E12,2)</f>
        <v>13499.7</v>
      </c>
      <c r="I12" s="1" t="n">
        <f aca="false">MAX(0,F12*2-D12)</f>
        <v>0</v>
      </c>
      <c r="J12" s="1" t="n">
        <f aca="false">ROUND(I12*E12,2)</f>
        <v>0</v>
      </c>
    </row>
    <row r="13" customFormat="false" ht="13.8" hidden="false" customHeight="false" outlineLevel="0" collapsed="false">
      <c r="A13" s="2" t="s">
        <v>40</v>
      </c>
      <c r="B13" s="2" t="s">
        <v>41</v>
      </c>
      <c r="C13" s="2" t="s">
        <v>35</v>
      </c>
      <c r="D13" s="2" t="n">
        <v>25</v>
      </c>
      <c r="E13" s="2" t="n">
        <v>599.99</v>
      </c>
      <c r="F13" s="2" t="n">
        <v>10</v>
      </c>
      <c r="G13" s="2" t="s">
        <v>36</v>
      </c>
      <c r="H13" s="1" t="n">
        <f aca="false">ROUND(D13*E13,2)</f>
        <v>14999.75</v>
      </c>
      <c r="I13" s="1" t="n">
        <f aca="false">MAX(0,F13*2-D13)</f>
        <v>0</v>
      </c>
      <c r="J13" s="1" t="n">
        <f aca="false">ROUND(I13*E13,2)</f>
        <v>0</v>
      </c>
    </row>
    <row r="14" customFormat="false" ht="13.8" hidden="false" customHeight="false" outlineLevel="0" collapsed="false">
      <c r="A14" s="2" t="s">
        <v>42</v>
      </c>
      <c r="B14" s="2" t="s">
        <v>43</v>
      </c>
      <c r="C14" s="2" t="s">
        <v>35</v>
      </c>
      <c r="D14" s="2" t="n">
        <v>90</v>
      </c>
      <c r="E14" s="2" t="n">
        <v>69.99</v>
      </c>
      <c r="F14" s="2" t="n">
        <v>25</v>
      </c>
      <c r="G14" s="2" t="s">
        <v>36</v>
      </c>
      <c r="H14" s="1" t="n">
        <f aca="false">ROUND(D14*E14,2)</f>
        <v>6299.1</v>
      </c>
      <c r="I14" s="1" t="n">
        <f aca="false">MAX(0,F14*2-D14)</f>
        <v>0</v>
      </c>
      <c r="J14" s="1" t="n">
        <f aca="false">ROUND(I14*E14,2)</f>
        <v>0</v>
      </c>
    </row>
    <row r="15" customFormat="false" ht="13.8" hidden="false" customHeight="false" outlineLevel="0" collapsed="false">
      <c r="A15" s="2" t="s">
        <v>44</v>
      </c>
      <c r="B15" s="2" t="s">
        <v>45</v>
      </c>
      <c r="C15" s="2" t="s">
        <v>46</v>
      </c>
      <c r="D15" s="2" t="n">
        <v>75</v>
      </c>
      <c r="E15" s="2" t="n">
        <v>34.99</v>
      </c>
      <c r="F15" s="2" t="n">
        <v>20</v>
      </c>
      <c r="G15" s="2" t="s">
        <v>47</v>
      </c>
      <c r="H15" s="1" t="n">
        <f aca="false">ROUND(D15*E15,2)</f>
        <v>2624.25</v>
      </c>
      <c r="I15" s="1" t="n">
        <f aca="false">MAX(0,F15*2-D15)</f>
        <v>0</v>
      </c>
      <c r="J15" s="1" t="n">
        <f aca="false">ROUND(I15*E15,2)</f>
        <v>0</v>
      </c>
    </row>
    <row r="16" customFormat="false" ht="13.8" hidden="false" customHeight="false" outlineLevel="0" collapsed="false">
      <c r="A16" s="2" t="s">
        <v>48</v>
      </c>
      <c r="B16" s="2" t="s">
        <v>49</v>
      </c>
      <c r="C16" s="2" t="s">
        <v>46</v>
      </c>
      <c r="D16" s="2" t="n">
        <v>40</v>
      </c>
      <c r="E16" s="2" t="n">
        <v>59.99</v>
      </c>
      <c r="F16" s="2" t="n">
        <v>15</v>
      </c>
      <c r="G16" s="2" t="s">
        <v>47</v>
      </c>
      <c r="H16" s="1" t="n">
        <f aca="false">ROUND(D16*E16,2)</f>
        <v>2399.6</v>
      </c>
      <c r="I16" s="1" t="n">
        <f aca="false">MAX(0,F16*2-D16)</f>
        <v>0</v>
      </c>
      <c r="J16" s="1" t="n">
        <f aca="false">ROUND(I16*E16,2)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C3" activeCellId="0" sqref="C3"/>
    </sheetView>
  </sheetViews>
  <sheetFormatPr defaultColWidth="9.1640625" defaultRowHeight="12.8" zeroHeight="false" outlineLevelRow="0" outlineLevelCol="0"/>
  <sheetData>
    <row r="1" customFormat="false" ht="12.8" hidden="false" customHeight="false" outlineLevel="0" collapsed="false">
      <c r="A1" s="2" t="s">
        <v>6</v>
      </c>
      <c r="B1" s="2" t="s">
        <v>50</v>
      </c>
      <c r="C1" s="2" t="s">
        <v>51</v>
      </c>
    </row>
    <row r="2" customFormat="false" ht="13.8" hidden="false" customHeight="false" outlineLevel="0" collapsed="false">
      <c r="B2" s="2" t="n">
        <f aca="false">COUNTIFS(Inventory!$G:$G,A2,Inventory!$I:$I,"&gt;0")</f>
        <v>0</v>
      </c>
      <c r="C2" s="1" t="n">
        <f aca="false">ROUND(SUMIF(Inventory!$G:$G,A2,Inventory!$J:$J),2)</f>
        <v>0</v>
      </c>
    </row>
    <row r="3" customFormat="false" ht="13.8" hidden="false" customHeight="false" outlineLevel="0" collapsed="false">
      <c r="A3" s="2" t="s">
        <v>52</v>
      </c>
      <c r="B3" s="2" t="n">
        <f aca="false">COUNTIFS(Inventory!$G:$G,A3,Inventory!$I:$I,"&gt;0")</f>
        <v>0</v>
      </c>
      <c r="C3" s="1" t="n">
        <f aca="false">ROUND(SUMIF(Inventory!$G:$G,A3,Inventory!$J:$J),2)</f>
        <v>0</v>
      </c>
    </row>
    <row r="4" customFormat="false" ht="13.8" hidden="false" customHeight="false" outlineLevel="0" collapsed="false">
      <c r="A4" s="2" t="s">
        <v>53</v>
      </c>
      <c r="B4" s="2" t="n">
        <f aca="false">COUNTIFS(Inventory!$G:$G,A4,Inventory!$I:$I,"&gt;0")</f>
        <v>0</v>
      </c>
      <c r="C4" s="1" t="n">
        <f aca="false">ROUND(SUMIF(Inventory!$G:$G,A4,Inventory!$J:$J),2)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F3" activeCellId="0" sqref="F3"/>
    </sheetView>
  </sheetViews>
  <sheetFormatPr defaultColWidth="9.1640625" defaultRowHeight="13.8" zeroHeight="false" outlineLevelRow="0" outlineLevelCol="0"/>
  <cols>
    <col collapsed="false" customWidth="false" hidden="false" outlineLevel="0" max="6" min="4" style="1" width="9.14"/>
  </cols>
  <sheetData>
    <row r="1" customFormat="false" ht="13.8" hidden="false" customHeight="false" outlineLevel="0" collapsed="false">
      <c r="A1" s="2" t="s">
        <v>2</v>
      </c>
      <c r="B1" s="2" t="s">
        <v>54</v>
      </c>
      <c r="C1" s="2" t="s">
        <v>55</v>
      </c>
      <c r="D1" s="1" t="s">
        <v>7</v>
      </c>
      <c r="E1" s="1" t="s">
        <v>56</v>
      </c>
      <c r="F1" s="1" t="s">
        <v>9</v>
      </c>
    </row>
    <row r="2" customFormat="false" ht="13.8" hidden="false" customHeight="false" outlineLevel="0" collapsed="false">
      <c r="A2" s="2" t="s">
        <v>12</v>
      </c>
      <c r="B2" s="2" t="n">
        <f aca="false">COUNTIF(Inventory!$C:$C,A2)</f>
        <v>6</v>
      </c>
      <c r="C2" s="2" t="n">
        <f aca="false">SUMIF(Inventory!$C:$C,A2,Inventory!$D:$D)</f>
        <v>1240</v>
      </c>
      <c r="D2" s="1" t="n">
        <f aca="false">ROUND(SUMIF(Inventory!$C:$C,A2,Inventory!$H:$H),2)</f>
        <v>37837.6</v>
      </c>
      <c r="E2" s="1" t="n">
        <f aca="false">COUNTIFS(Inventory!$C:$C,A2,Inventory!$I:$I,"&gt;0")</f>
        <v>0</v>
      </c>
      <c r="F2" s="1" t="n">
        <f aca="false">ROUND(SUMIF(Inventory!$C:$C,A2,Inventory!$J:$J),2)</f>
        <v>0</v>
      </c>
    </row>
    <row r="3" customFormat="false" ht="13.8" hidden="false" customHeight="false" outlineLevel="0" collapsed="false">
      <c r="A3" s="2" t="s">
        <v>27</v>
      </c>
      <c r="B3" s="2" t="n">
        <f aca="false">COUNTIF(Inventory!$C:$C,A3)</f>
        <v>3</v>
      </c>
      <c r="C3" s="2" t="n">
        <f aca="false">SUMIF(Inventory!$C:$C,A3,Inventory!$D:$D)</f>
        <v>280</v>
      </c>
      <c r="D3" s="1" t="n">
        <f aca="false">ROUND(SUMIF(Inventory!$C:$C,A3,Inventory!$H:$H),2)</f>
        <v>28397.2</v>
      </c>
      <c r="E3" s="1" t="n">
        <f aca="false">COUNTIFS(Inventory!$C:$C,A3,Inventory!$I:$I,"&gt;0")</f>
        <v>0</v>
      </c>
      <c r="F3" s="1" t="n">
        <f aca="false">ROUND(SUMIF(Inventory!$C:$C,A3,Inventory!$J:$J),2)</f>
        <v>0</v>
      </c>
    </row>
    <row r="4" customFormat="false" ht="13.8" hidden="false" customHeight="false" outlineLevel="0" collapsed="false">
      <c r="A4" s="2" t="s">
        <v>35</v>
      </c>
      <c r="B4" s="2" t="n">
        <f aca="false">COUNTIF(Inventory!$C:$C,A4)</f>
        <v>4</v>
      </c>
      <c r="C4" s="2" t="n">
        <f aca="false">SUMIF(Inventory!$C:$C,A4,Inventory!$D:$D)</f>
        <v>190</v>
      </c>
      <c r="D4" s="1" t="n">
        <f aca="false">ROUND(SUMIF(Inventory!$C:$C,A4,Inventory!$H:$H),2)</f>
        <v>75298.1</v>
      </c>
      <c r="E4" s="1" t="n">
        <f aca="false">COUNTIFS(Inventory!$C:$C,A4,Inventory!$I:$I,"&gt;0")</f>
        <v>0</v>
      </c>
      <c r="F4" s="1" t="n">
        <f aca="false">ROUND(SUMIF(Inventory!$C:$C,A4,Inventory!$J:$J),2)</f>
        <v>0</v>
      </c>
    </row>
    <row r="5" customFormat="false" ht="13.8" hidden="false" customHeight="false" outlineLevel="0" collapsed="false">
      <c r="A5" s="2" t="s">
        <v>46</v>
      </c>
      <c r="B5" s="2" t="n">
        <f aca="false">COUNTIF(Inventory!$C:$C,A5)</f>
        <v>2</v>
      </c>
      <c r="C5" s="2" t="n">
        <f aca="false">SUMIF(Inventory!$C:$C,A5,Inventory!$D:$D)</f>
        <v>115</v>
      </c>
      <c r="D5" s="1" t="n">
        <f aca="false">ROUND(SUMIF(Inventory!$C:$C,A5,Inventory!$H:$H),2)</f>
        <v>5023.85</v>
      </c>
      <c r="E5" s="1" t="n">
        <f aca="false">COUNTIFS(Inventory!$C:$C,A5,Inventory!$I:$I,"&gt;0")</f>
        <v>0</v>
      </c>
      <c r="F5" s="1" t="n">
        <f aca="false">ROUND(SUMIF(Inventory!$C:$C,A5,Inventory!$J:$J),2)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2026-04-19T06:53:18Z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